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Digital Assets" sheetId="2" r:id="rId6"/>
    <sheet state="visible" name="Accounts &amp; Security" sheetId="3" r:id="rId7"/>
    <sheet state="visible" name="Backup &amp; Recovery" sheetId="4" r:id="rId8"/>
    <sheet state="visible" name="Monthly Control Check" sheetId="5" r:id="rId9"/>
    <sheet state="visible" name="Open Items" sheetId="6" r:id="rId10"/>
    <sheet state="visible" name="Executive Dashboard" sheetId="7" r:id="rId11"/>
  </sheets>
  <definedNames/>
  <calcPr/>
</workbook>
</file>

<file path=xl/sharedStrings.xml><?xml version="1.0" encoding="utf-8"?>
<sst xmlns="http://schemas.openxmlformats.org/spreadsheetml/2006/main" count="392" uniqueCount="202">
  <si>
    <t xml:space="preserve">Example Co Digital Technology &amp; Access Register (sample, anonymised data)</t>
  </si>
  <si>
    <t>Accounts &amp; Security</t>
  </si>
  <si>
    <t>Digital Assets — Ownership &amp; Access</t>
  </si>
  <si>
    <t>Backup &amp; Recovery</t>
  </si>
  <si>
    <t>Sheet</t>
  </si>
  <si>
    <t>Ref</t>
  </si>
  <si>
    <t>Account ref</t>
  </si>
  <si>
    <t>What it contains</t>
  </si>
  <si>
    <t>Asset ID</t>
  </si>
  <si>
    <t>System / data</t>
  </si>
  <si>
    <t>System</t>
  </si>
  <si>
    <t>Digital service / asset</t>
  </si>
  <si>
    <t>Why it matters</t>
  </si>
  <si>
    <t>Digital Assets</t>
  </si>
  <si>
    <t>Account / access point</t>
  </si>
  <si>
    <t>Master list of Example Co's important digital services.</t>
  </si>
  <si>
    <t>Backup in place?</t>
  </si>
  <si>
    <t>What it is used for</t>
  </si>
  <si>
    <t>Purpose</t>
  </si>
  <si>
    <t>Active?</t>
  </si>
  <si>
    <t>How often?</t>
  </si>
  <si>
    <t>Business owner (role)</t>
  </si>
  <si>
    <t>A check of important accounts and their security.</t>
  </si>
  <si>
    <t>Backup status</t>
  </si>
  <si>
    <t>Access level</t>
  </si>
  <si>
    <t>Admin access confirmed?</t>
  </si>
  <si>
    <t>Shows whether important data is backed up and whether recovery is proven.</t>
  </si>
  <si>
    <t>Recovery result</t>
  </si>
  <si>
    <t>MFA/2FA required?</t>
  </si>
  <si>
    <t>Does Example Co have its own admin/recovery access?</t>
  </si>
  <si>
    <t xml:space="preserve">Website &amp; Domain </t>
  </si>
  <si>
    <t>Keeps the website, domain, DNS, hosting, and SSL ownership together.</t>
  </si>
  <si>
    <t>Recovery owner (role)</t>
  </si>
  <si>
    <t>MFA/2FA status</t>
  </si>
  <si>
    <t>Recovery route confirmed?</t>
  </si>
  <si>
    <t>Monthly Control Check</t>
  </si>
  <si>
    <t>Direct input for the monthly management report.</t>
  </si>
  <si>
    <t>BKP-001</t>
  </si>
  <si>
    <t>Open Items</t>
  </si>
  <si>
    <t>Renewal / expiry</t>
  </si>
  <si>
    <t>Keeps risks and agreed actions from disappearing after the report is issued.</t>
  </si>
  <si>
    <t>Last reviewed</t>
  </si>
  <si>
    <t>Executive Dashboard</t>
  </si>
  <si>
    <t>One-page management view of the current position.</t>
  </si>
  <si>
    <t>Current position</t>
  </si>
  <si>
    <t>Google Workspace</t>
  </si>
  <si>
    <t>Action needed</t>
  </si>
  <si>
    <t>Email, files and core business information</t>
  </si>
  <si>
    <t>Owner (role)</t>
  </si>
  <si>
    <t>Status</t>
  </si>
  <si>
    <t>Status guide</t>
  </si>
  <si>
    <t>What needs attention</t>
  </si>
  <si>
    <t>Last checked</t>
  </si>
  <si>
    <t>ACC-001</t>
  </si>
  <si>
    <t>Yes</t>
  </si>
  <si>
    <t>Monthly</t>
  </si>
  <si>
    <t>Primary administrator account</t>
  </si>
  <si>
    <t>Action owner</t>
  </si>
  <si>
    <t>Successful</t>
  </si>
  <si>
    <t>Good</t>
  </si>
  <si>
    <t>Workspace administration and security</t>
  </si>
  <si>
    <t>Due date</t>
  </si>
  <si>
    <t>Checked and evidence supports the control.</t>
  </si>
  <si>
    <t>Pass</t>
  </si>
  <si>
    <t xml:space="preserve">IT Consultant</t>
  </si>
  <si>
    <t>AST-001</t>
  </si>
  <si>
    <t>Needs attention</t>
  </si>
  <si>
    <t>BKP-002</t>
  </si>
  <si>
    <t>Admin / full</t>
  </si>
  <si>
    <t>The control exists but something needs follow-up or the evidence is incomplete.</t>
  </si>
  <si>
    <t>Website / CMS</t>
  </si>
  <si>
    <t>Public website and content</t>
  </si>
  <si>
    <t>Email, files, calendars and day-to-day collaboration</t>
  </si>
  <si>
    <t>Compliant</t>
  </si>
  <si>
    <t xml:space="preserve">8th September 2026</t>
  </si>
  <si>
    <t>None</t>
  </si>
  <si>
    <t>Closed</t>
  </si>
  <si>
    <t>BKP-003</t>
  </si>
  <si>
    <t>Hosting</t>
  </si>
  <si>
    <t>ACC-002</t>
  </si>
  <si>
    <t>Website files / hosting data where applicable</t>
  </si>
  <si>
    <t>High risk</t>
  </si>
  <si>
    <t>Standard user account(s)</t>
  </si>
  <si>
    <t>Invoice payment pending</t>
  </si>
  <si>
    <t>A material gap could interrupt access, security or recovery.</t>
  </si>
  <si>
    <t>Normal email and Workspace use</t>
  </si>
  <si>
    <t>Not yet checked</t>
  </si>
  <si>
    <t>The review has not been completed.</t>
  </si>
  <si>
    <t>Confirm invoice payment</t>
  </si>
  <si>
    <t>Standard</t>
  </si>
  <si>
    <t>BKP-004</t>
  </si>
  <si>
    <t xml:space="preserve">IT Consultant to check with Operations Manager</t>
  </si>
  <si>
    <t>Other critical business data</t>
  </si>
  <si>
    <t xml:space="preserve">14th September 2026</t>
  </si>
  <si>
    <t xml:space="preserve">Other critical business data (e.g. shared finance records)</t>
  </si>
  <si>
    <t>AST-002</t>
  </si>
  <si>
    <t>Public website and customer-facing content</t>
  </si>
  <si>
    <t>ACC-003</t>
  </si>
  <si>
    <t>Website administrator account</t>
  </si>
  <si>
    <t>Manage website content and settings</t>
  </si>
  <si>
    <t>ACC-004</t>
  </si>
  <si>
    <t>Actioning from the website analysis report</t>
  </si>
  <si>
    <t>Domain / DNS</t>
  </si>
  <si>
    <t>Keeping monitoring that the pages CTA buttons and forms are functioning well</t>
  </si>
  <si>
    <t xml:space="preserve">Registrar </t>
  </si>
  <si>
    <t xml:space="preserve">IT Consultant</t>
  </si>
  <si>
    <t>Domain and DNS management</t>
  </si>
  <si>
    <t xml:space="preserve">8th October 2026</t>
  </si>
  <si>
    <t>AST-003</t>
  </si>
  <si>
    <t>Domain name / registrar</t>
  </si>
  <si>
    <t>Controls the Example Co web address and domain identity</t>
  </si>
  <si>
    <t>ACC-005</t>
  </si>
  <si>
    <t>Hosting administrator account</t>
  </si>
  <si>
    <t>Website hosting and server-side services</t>
  </si>
  <si>
    <t xml:space="preserve">Bundled renewal: domain, DNS, hosting and SSL on one invoice; reminder set 30 days before expiry</t>
  </si>
  <si>
    <t>Keeping monitoring that the service is up and running</t>
  </si>
  <si>
    <t>AST-004</t>
  </si>
  <si>
    <t>ACC-006</t>
  </si>
  <si>
    <t>Analytics</t>
  </si>
  <si>
    <t>DNS management</t>
  </si>
  <si>
    <t xml:space="preserve">GA4 / Search Console </t>
  </si>
  <si>
    <t>Controls where website and email services point</t>
  </si>
  <si>
    <t>Analytics and measurement administration</t>
  </si>
  <si>
    <t>Partial</t>
  </si>
  <si>
    <t xml:space="preserve">Operations Manager</t>
  </si>
  <si>
    <t>Monitoring of the emails and website services and ensuring that they are active with no interruption</t>
  </si>
  <si>
    <t>In progress</t>
  </si>
  <si>
    <t>AST-005</t>
  </si>
  <si>
    <t>Website hosting</t>
  </si>
  <si>
    <t>Keeps the website available online</t>
  </si>
  <si>
    <t>Monitoring of the website services and ensuring that they are active with no interruption</t>
  </si>
  <si>
    <t>AST-006</t>
  </si>
  <si>
    <t>SSL certificate</t>
  </si>
  <si>
    <t>Protects secure website connections</t>
  </si>
  <si>
    <t>Monitoring of the website services and ensuring that its secure</t>
  </si>
  <si>
    <t>AST-007</t>
  </si>
  <si>
    <t>Google Analytics 4</t>
  </si>
  <si>
    <t>Measures website use and outcomes</t>
  </si>
  <si>
    <t>Monitoring of the website activities and generate data from the patterns and activities</t>
  </si>
  <si>
    <t>AST-008</t>
  </si>
  <si>
    <t>Google Search Console</t>
  </si>
  <si>
    <t>Monitors Google search visibility and site health</t>
  </si>
  <si>
    <t>Monitoring of the website pages and which ones are active and dormant and share a report</t>
  </si>
  <si>
    <t>AST-009</t>
  </si>
  <si>
    <t>Backup service / arrangement</t>
  </si>
  <si>
    <t>Supports recovery if data or a system is lost</t>
  </si>
  <si>
    <t>Ensure that the data is backed up and up to date in case of any issue that requires recovery</t>
  </si>
  <si>
    <t>Control area requested by Example Co</t>
  </si>
  <si>
    <t>What was checked</t>
  </si>
  <si>
    <t>Evidence / date</t>
  </si>
  <si>
    <t>Next action</t>
  </si>
  <si>
    <t>Google Workspace users and administrator access</t>
  </si>
  <si>
    <t>Users, inactive accounts, admin access and Example Co's independent admin route</t>
  </si>
  <si>
    <t>Keep monitoring for any changes and updates</t>
  </si>
  <si>
    <t>MFA / security and recovery controls</t>
  </si>
  <si>
    <t>MFA/2FA coverage, privileged accounts and recovery options</t>
  </si>
  <si>
    <t>Password and access controls</t>
  </si>
  <si>
    <t>Account access, password controls and whether access is still appropriate</t>
  </si>
  <si>
    <t>Google Workspace backup and recovery</t>
  </si>
  <si>
    <t>Backup arrangement, latest check and recovery capability</t>
  </si>
  <si>
    <t>Website backup and recovery</t>
  </si>
  <si>
    <t>Website backup health and a controlled recovery test where possible</t>
  </si>
  <si>
    <t>Domain, hosting and SSL status</t>
  </si>
  <si>
    <t>Ownership, renewal/expiry dates, hosting, DNS and SSL</t>
  </si>
  <si>
    <t>Critical digital asset ownership / access</t>
  </si>
  <si>
    <t>Ownership and independent Example Co access across important systems</t>
  </si>
  <si>
    <t>Security incidents / unusual activity</t>
  </si>
  <si>
    <t>Relevant security/audit activity for the review period</t>
  </si>
  <si>
    <t>Business continuity / recovery readiness</t>
  </si>
  <si>
    <t>Key failure scenarios and whether recovery routes have been tested</t>
  </si>
  <si>
    <t>Outstanding risks, exceptions and required actions</t>
  </si>
  <si>
    <t>Open high/critical items, owners, deadlines and closure evidence</t>
  </si>
  <si>
    <t>Open Items — Risks &amp; Actions</t>
  </si>
  <si>
    <t>Area / system</t>
  </si>
  <si>
    <t>Priority</t>
  </si>
  <si>
    <t>Decision / support needed</t>
  </si>
  <si>
    <t xml:space="preserve">OPN-001</t>
  </si>
  <si>
    <t>Workspace invoice</t>
  </si>
  <si>
    <t>Confirm that the invoice is cleared</t>
  </si>
  <si>
    <t>Critical</t>
  </si>
  <si>
    <t xml:space="preserve">IT Consultant to Operations Manager</t>
  </si>
  <si>
    <t xml:space="preserve">OPN-002</t>
  </si>
  <si>
    <t>Example Co Digital Protection &amp; Continuity Dashboard</t>
  </si>
  <si>
    <t>A clear monthly view of whether Example Co's key digital services are controlled, accessible to the business, backed up and ready to recover.</t>
  </si>
  <si>
    <t>CURRENT CONTROL POSITION</t>
  </si>
  <si>
    <t>Critical systems checked</t>
  </si>
  <si>
    <t>MFA coverage</t>
  </si>
  <si>
    <t>Backup checks passed</t>
  </si>
  <si>
    <t>Recovery readiness</t>
  </si>
  <si>
    <t>High-risk issues still open</t>
  </si>
  <si>
    <t>OPEN ISSUES &amp; PRIORITIES</t>
  </si>
  <si>
    <t>Open issues</t>
  </si>
  <si>
    <t>High</t>
  </si>
  <si>
    <t>Medium</t>
  </si>
  <si>
    <t>Low</t>
  </si>
  <si>
    <t>Overall position</t>
  </si>
  <si>
    <t>IT CONSULTANT'S ASSESSMENT</t>
  </si>
  <si>
    <t xml:space="preserve">The main controls reviewed are in place and ownership is clear. One critical item (a pending Workspace invoice) and one partial MFA enrolment remain open and are due for closure before the next review.</t>
  </si>
  <si>
    <t>Technology oversight: IT Support &amp; Infrastructure Consultant</t>
  </si>
  <si>
    <t>Managing Director</t>
  </si>
  <si>
    <t>Complete MFA enrolment for GA4 / Search Console</t>
  </si>
  <si>
    <t>Close the pending invoice item and confirm payment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</si>
</sst>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d-mmm-yyyy"/>
  </numFmts>
  <fonts count="15">
    <font>
      <sz val="11.0"/>
      <color rgb="FF000000"/>
      <name val="Carlito"/>
      <scheme val="minor"/>
    </font>
    <font>
      <b/>
      <sz val="16.0"/>
      <color rgb="FFFFFFFF"/>
      <name val="Carlito"/>
    </font>
    <font/>
    <font>
      <sz val="10.0"/>
      <color rgb="FFD7DEE6"/>
      <name val="Carlito"/>
    </font>
    <font>
      <color theme="1"/>
      <name val="Carlito"/>
      <scheme val="minor"/>
    </font>
    <font>
      <sz val="11.0"/>
      <color theme="1"/>
      <name val="Carlito"/>
    </font>
    <font>
      <b/>
      <sz val="10.0"/>
      <color rgb="FFFFFFFF"/>
      <name val="Carlito"/>
    </font>
    <font>
      <sz val="10.0"/>
      <color rgb="FF17202A"/>
      <name val="Carlito"/>
    </font>
    <font>
      <b/>
      <sz val="11.0"/>
      <color rgb="FFFFFFFF"/>
      <name val="Carlito"/>
    </font>
    <font>
      <b/>
      <sz val="10.0"/>
      <color rgb="FF17202A"/>
      <name val="Carlito"/>
    </font>
    <font>
      <b/>
      <sz val="9.0"/>
      <color rgb="FFFFFFFF"/>
      <name val="Carlito"/>
    </font>
    <font>
      <b/>
      <sz val="18.0"/>
      <color rgb="FF17202A"/>
      <name val="Carlito"/>
    </font>
    <font>
      <sz val="9.0"/>
      <color rgb="FF17202A"/>
      <name val="Carlito"/>
    </font>
    <font>
      <b/>
      <sz val="11.0"/>
      <color theme="0"/>
      <name val="Carlito"/>
    </font>
    <font>
      <i/>
      <sz val="9.0"/>
      <color rgb="FF6B7280"/>
      <name val="Carlito"/>
    </font>
  </fonts>
  <fills count="9">
    <fill>
      <patternFill patternType="none"/>
    </fill>
    <fill>
      <patternFill patternType="lightGray"/>
    </fill>
    <fill>
      <patternFill patternType="solid">
        <fgColor rgb="FF0B1117"/>
        <bgColor rgb="FF0B1117"/>
      </patternFill>
    </fill>
    <fill>
      <patternFill patternType="solid">
        <fgColor rgb="FF16A6A6"/>
        <bgColor rgb="FF16A6A6"/>
      </patternFill>
    </fill>
    <fill>
      <patternFill patternType="solid">
        <fgColor rgb="FFDDF4E4"/>
        <bgColor rgb="FFDDF4E4"/>
      </patternFill>
    </fill>
    <fill>
      <patternFill patternType="solid">
        <fgColor rgb="FFFFF4CC"/>
        <bgColor rgb="FFFFF4CC"/>
      </patternFill>
    </fill>
    <fill>
      <patternFill patternType="solid">
        <fgColor rgb="FFFDE2E1"/>
        <bgColor rgb="FFFDE2E1"/>
      </patternFill>
    </fill>
    <fill>
      <patternFill patternType="solid">
        <fgColor rgb="FFF5F7F9"/>
        <bgColor rgb="FFF5F7F9"/>
      </patternFill>
    </fill>
    <fill>
      <patternFill patternType="solid">
        <fgColor rgb="FFFFFFFF"/>
        <bgColor rgb="FFFFFFFF"/>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2" fillId="0" fontId="2" numFmtId="0" xfId="0" applyBorder="1" applyFont="1"/>
    <xf borderId="3" fillId="0" fontId="2" numFmtId="0" xfId="0" applyBorder="1" applyFont="1"/>
    <xf borderId="1" fillId="2" fontId="3" numFmtId="0" xfId="0" applyAlignment="1" applyBorder="1" applyFill="1" applyFont="1">
      <alignment shrinkToFit="0" vertical="center" wrapText="1"/>
    </xf>
    <xf borderId="4" fillId="0" fontId="4" numFmtId="0" xfId="0" applyBorder="1" applyFont="1"/>
    <xf borderId="0" fillId="2" fontId="1" numFmtId="0" xfId="0" applyAlignment="1" applyFill="1" applyFont="1">
      <alignment shrinkToFit="0" vertical="top" wrapText="1"/>
    </xf>
    <xf borderId="5" fillId="0" fontId="4" numFmtId="0" xfId="0" applyBorder="1" applyFont="1"/>
    <xf borderId="0" fillId="2" fontId="3" numFmtId="0" xfId="0" applyAlignment="1" applyFill="1" applyFont="1">
      <alignment shrinkToFit="0" vertical="top" wrapText="1"/>
    </xf>
    <xf borderId="6" fillId="0" fontId="2" numFmtId="0" xfId="0" applyBorder="1" applyFont="1"/>
    <xf borderId="0" fillId="0" fontId="5" numFmtId="0" xfId="0" applyAlignment="1" applyFont="1">
      <alignment vertical="top"/>
    </xf>
    <xf borderId="7" fillId="0" fontId="2" numFmtId="0" xfId="0" applyBorder="1" applyFont="1"/>
    <xf borderId="0" fillId="0" fontId="5" numFmtId="0" xfId="0" applyAlignment="1" applyFont="1">
      <alignment horizontal="center" vertical="top"/>
    </xf>
    <xf borderId="4" fillId="3" fontId="6" numFmtId="0" xfId="0" applyAlignment="1" applyBorder="1" applyFill="1" applyFont="1">
      <alignment horizontal="center" shrinkToFit="0" vertical="center" wrapText="1"/>
    </xf>
    <xf borderId="4" fillId="3" fontId="6" numFmtId="0" xfId="0" applyAlignment="1" applyBorder="1" applyFill="1" applyFont="1">
      <alignment horizontal="center" readingOrder="0" shrinkToFit="0" vertical="center" wrapText="1"/>
    </xf>
    <xf borderId="0" fillId="3" fontId="6" numFmtId="0" xfId="0" applyAlignment="1" applyFill="1" applyFont="1">
      <alignment horizontal="center" readingOrder="0" shrinkToFit="0" vertical="top" wrapText="1"/>
    </xf>
    <xf borderId="8" fillId="0" fontId="2" numFmtId="0" xfId="0" applyBorder="1" applyFont="1"/>
    <xf borderId="9" fillId="0" fontId="2" numFmtId="0" xfId="0" applyBorder="1" applyFont="1"/>
    <xf borderId="4" fillId="0" fontId="7" numFmtId="0" xfId="0" applyAlignment="1" applyBorder="1" applyFont="1">
      <alignment shrinkToFit="0" vertical="top" wrapText="1"/>
    </xf>
    <xf borderId="4" fillId="0" fontId="7" numFmtId="0" xfId="0" applyAlignment="1" applyBorder="1" applyFont="1">
      <alignment readingOrder="0" shrinkToFit="0" vertical="top" wrapText="1"/>
    </xf>
    <xf borderId="0" fillId="0" fontId="7" numFmtId="0" xfId="0" applyAlignment="1" applyFont="1">
      <alignment shrinkToFit="0" vertical="top" wrapText="1"/>
    </xf>
    <xf borderId="10" fillId="0" fontId="2" numFmtId="0" xfId="0" applyBorder="1" applyFont="1"/>
    <xf borderId="11" fillId="0" fontId="2" numFmtId="0" xfId="0" applyBorder="1" applyFont="1"/>
    <xf borderId="12" fillId="0" fontId="2" numFmtId="0" xfId="0" applyBorder="1" applyFont="1"/>
    <xf borderId="1" fillId="3" fontId="8" numFmtId="0" xfId="0" applyAlignment="1" applyBorder="1" applyFill="1" applyFont="1">
      <alignment readingOrder="0" vertical="center"/>
    </xf>
    <xf borderId="0" fillId="0" fontId="7" numFmtId="0" xfId="0" applyAlignment="1" applyFont="1">
      <alignment readingOrder="0" shrinkToFit="0" vertical="top" wrapText="1"/>
    </xf>
    <xf borderId="4" fillId="4" fontId="9" numFmtId="0" xfId="0" applyAlignment="1" applyBorder="1" applyFill="1" applyFont="1">
      <alignment shrinkToFit="0" vertical="top" wrapText="1"/>
    </xf>
    <xf borderId="4" fillId="5" fontId="9" numFmtId="0" xfId="0" applyAlignment="1" applyBorder="1" applyFill="1" applyFont="1">
      <alignment shrinkToFit="0" vertical="top" wrapText="1"/>
    </xf>
    <xf borderId="0" fillId="0" fontId="7" numFmtId="164" xfId="0" applyAlignment="1" applyFont="1" applyNumberFormat="1">
      <alignment horizontal="center" readingOrder="0" shrinkToFit="0" vertical="top" wrapText="1"/>
    </xf>
    <xf borderId="4" fillId="6" fontId="9" numFmtId="0" xfId="0" applyAlignment="1" applyBorder="1" applyFill="1" applyFont="1">
      <alignment shrinkToFit="0" vertical="top" wrapText="1"/>
    </xf>
    <xf borderId="4" fillId="7" fontId="9" numFmtId="0" xfId="0" applyAlignment="1" applyBorder="1" applyFill="1" applyFont="1">
      <alignment shrinkToFit="0" vertical="top" wrapText="1"/>
    </xf>
    <xf borderId="0" fillId="0" fontId="7" numFmtId="165" xfId="0" applyAlignment="1" applyFont="1" applyNumberFormat="1">
      <alignment horizontal="center" readingOrder="0" shrinkToFit="0" vertical="top" wrapText="1"/>
    </xf>
    <xf borderId="0" fillId="0" fontId="7" numFmtId="165" xfId="0" applyAlignment="1" applyFont="1" applyNumberFormat="1">
      <alignment shrinkToFit="0" vertical="top" wrapText="1"/>
    </xf>
    <xf borderId="0" fillId="0" fontId="7" numFmtId="0" xfId="0" applyAlignment="1" applyFont="1">
      <alignment horizontal="center" readingOrder="0" shrinkToFit="0" vertical="top" wrapText="1"/>
    </xf>
    <xf borderId="0" fillId="0" fontId="7" numFmtId="165" xfId="0" applyAlignment="1" applyFont="1" applyNumberFormat="1">
      <alignment horizontal="center" shrinkToFit="0" vertical="top" wrapText="1"/>
    </xf>
    <xf borderId="0" fillId="0" fontId="4" numFmtId="0" xfId="0" applyAlignment="1" applyFont="1">
      <alignment horizontal="center"/>
    </xf>
    <xf borderId="0" fillId="2" fontId="1" numFmtId="0" xfId="0" applyAlignment="1" applyFill="1" applyFont="1">
      <alignment shrinkToFit="0" vertical="center" wrapText="1"/>
    </xf>
    <xf borderId="0" fillId="2" fontId="3" numFmtId="0" xfId="0" applyAlignment="1" applyFill="1" applyFont="1">
      <alignment shrinkToFit="0" vertical="center" wrapText="1"/>
    </xf>
    <xf borderId="0" fillId="3" fontId="8" numFmtId="0" xfId="0" applyAlignment="1" applyFill="1" applyFont="1">
      <alignment vertical="center"/>
    </xf>
    <xf borderId="0" fillId="2" fontId="10" numFmtId="0" xfId="0" applyAlignment="1" applyFill="1" applyFont="1">
      <alignment horizontal="center" shrinkToFit="0" vertical="center" wrapText="1"/>
    </xf>
    <xf borderId="0" fillId="8" fontId="11" numFmtId="0" xfId="0" applyAlignment="1" applyFill="1" applyFont="1">
      <alignment horizontal="center" vertical="center"/>
    </xf>
    <xf borderId="0" fillId="8" fontId="11" numFmtId="9" xfId="0" applyAlignment="1" applyFill="1" applyFont="1" applyNumberFormat="1">
      <alignment horizontal="center" vertical="center"/>
    </xf>
    <xf borderId="0" fillId="3" fontId="6" numFmtId="0" xfId="0" applyAlignment="1" applyFill="1" applyFont="1">
      <alignment horizontal="center" shrinkToFit="0" vertical="center" wrapText="1"/>
    </xf>
    <xf borderId="0" fillId="0" fontId="7" numFmtId="0" xfId="0" applyAlignment="1" applyFont="1">
      <alignment shrinkToFit="0" vertical="top" wrapText="1"/>
    </xf>
    <xf borderId="0" fillId="0" fontId="5" numFmtId="0" xfId="0" applyFont="1"/>
    <xf borderId="0" fillId="7" fontId="12" numFmtId="0" xfId="0" applyAlignment="1" applyFill="1" applyFont="1">
      <alignment shrinkToFit="0" vertical="top" wrapText="1"/>
    </xf>
    <xf borderId="0" fillId="3" fontId="13" numFmtId="0" xfId="0" applyAlignment="1" applyFill="1" applyFont="1">
      <alignment readingOrder="0" shrinkToFit="0" vertical="center" wrapText="1"/>
    </xf>
    <xf borderId="0" fillId="7" fontId="12" numFmtId="0" xfId="0" applyAlignment="1" applyFill="1" applyFont="1">
      <alignment readingOrder="0" shrinkToFit="0" vertical="top" wrapText="1"/>
    </xf>
    <xf borderId="0" fillId="0" fontId="14" numFmtId="0" xfId="0" applyAlignment="1" applyFont="1">
      <alignment horizontal="right"/>
    </xf>
  </cellXfs>
  <cellStyles count="1">
    <cellStyle xfId="0" name="Normal" builtinId="0"/>
  </cellStyles>
  <dxfs count="9">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
      <font/>
      <fill>
        <patternFill patternType="solid">
          <fgColor rgb="FFDDF4E4"/>
          <bgColor rgb="FFDDF4E4"/>
        </patternFill>
      </fill>
      <border/>
    </dxf>
    <dxf>
      <font/>
      <fill>
        <patternFill patternType="solid">
          <fgColor rgb="FFFDE2E1"/>
          <bgColor rgb="FFFDE2E1"/>
        </patternFill>
      </fill>
      <border/>
    </dxf>
    <dxf>
      <font/>
      <fill>
        <patternFill patternType="solid">
          <fgColor rgb="FFFFF4CC"/>
          <bgColor rgb="FFFFF4CC"/>
        </patternFill>
      </fill>
      <border/>
    </dxf>
    <dxf>
      <font/>
      <fill>
        <patternFill patternType="solid">
          <fgColor rgb="FFF5F7F9"/>
          <bgColor rgb="FFF5F7F9"/>
        </patternFill>
      </fill>
      <border/>
    </dxf>
  </dxfs>
  <tableStyles count="5">
    <tableStyle count="4" pivot="0" name="Backup &amp; Recovery-style">
      <tableStyleElement dxfId="1" type="headerRow"/>
      <tableStyleElement dxfId="2" type="firstRowStripe"/>
      <tableStyleElement dxfId="3" type="secondRowStripe"/>
      <tableStyleElement dxfId="4" size="0" type="wholeTable"/>
    </tableStyle>
    <tableStyle count="4" pivot="0" name="Digital Assets-style">
      <tableStyleElement dxfId="1" type="headerRow"/>
      <tableStyleElement dxfId="2" type="firstRowStripe"/>
      <tableStyleElement dxfId="3" type="secondRowStripe"/>
      <tableStyleElement dxfId="4" size="0" type="wholeTable"/>
    </tableStyle>
    <tableStyle count="4" pivot="0" name="Accounts &amp; Security-style">
      <tableStyleElement dxfId="1" type="headerRow"/>
      <tableStyleElement dxfId="2" type="firstRowStripe"/>
      <tableStyleElement dxfId="3" type="secondRowStripe"/>
      <tableStyleElement dxfId="4" size="0" type="wholeTable"/>
    </tableStyle>
    <tableStyle count="4" pivot="0" name="Monthly Control Check-style">
      <tableStyleElement dxfId="1" type="headerRow"/>
      <tableStyleElement dxfId="2" type="firstRowStripe"/>
      <tableStyleElement dxfId="3" type="secondRowStripe"/>
      <tableStyleElement dxfId="4" size="0" type="wholeTable"/>
    </tableStyle>
    <tableStyle count="4" pivot="0" name="Open Item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Open Items by Priority</a:t>
            </a:r>
          </a:p>
        </c:rich>
      </c:tx>
      <c:overlay val="0"/>
    </c:title>
    <c:plotArea>
      <c:layout/>
      <c:barChart>
        <c:barDir val="col"/>
        <c:varyColors val="0"/>
        <c:ser>
          <c:idx val="0"/>
          <c:order val="0"/>
          <c:tx>
            <c:v>Open items</c:v>
          </c:tx>
          <c:spPr>
            <a:solidFill>
              <a:schemeClr val="accent1"/>
            </a:solidFill>
            <a:ln cmpd="sng">
              <a:noFill/>
            </a:ln>
          </c:spPr>
          <c:invertIfNegative val="0"/>
          <c:cat>
            <c:strRef>
              <c:f>'Executive Dashboard'!$A$12:$A$15</c:f>
            </c:strRef>
          </c:cat>
          <c:val>
            <c:numRef>
              <c:f>'Executive Dashboard'!$B$12:$B$15</c:f>
              <c:numCache/>
            </c:numRef>
          </c:val>
        </c:ser>
        <c:axId val="928867018"/>
        <c:axId val="68734479"/>
      </c:barChart>
      <c:catAx>
        <c:axId val="9288670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68734479"/>
      </c:catAx>
      <c:valAx>
        <c:axId val="6873447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928867018"/>
      </c:valAx>
    </c:plotArea>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1343025</xdr:colOff>
      <xdr:row>7</xdr:row>
      <xdr:rowOff>0</xdr:rowOff>
    </xdr:from>
    <xdr:ext cx="6877050" cy="2952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4:N33" displayName="DigitalAssetsTable" name="DigitalAssetsTable" id="2">
  <tableColumns count="14">
    <tableColumn name="Asset ID" id="1"/>
    <tableColumn name="Digital service / asset" id="2"/>
    <tableColumn name="Purpose" id="3"/>
    <tableColumn name="Business owner (role)" id="4"/>
    <tableColumn name="Admin access confirmed?" id="5"/>
    <tableColumn name="Does Example Co have its own admin/recovery access?" id="6"/>
    <tableColumn name="Recovery route confirmed?" id="7"/>
    <tableColumn name="Renewal / expiry" id="8"/>
    <tableColumn name="Current position" id="9"/>
    <tableColumn name="What needs attention" id="10"/>
    <tableColumn name="Last checked" id="11"/>
    <tableColumn name="Action needed" id="12"/>
    <tableColumn name="Action owner" id="13"/>
    <tableColumn name="Due date" id="14"/>
  </tableColumns>
  <tableStyleInfo name="Digital Assets-style" showColumnStripes="0" showFirstColumn="1" showLastColumn="1" showRowStripes="1"/>
</table>
</file>

<file path=xl/tables/table2.xml><?xml version="1.0" encoding="utf-8"?>
<table xmlns="http://schemas.openxmlformats.org/spreadsheetml/2006/main" ref="A4:L44" displayName="AccountsSecurityTable" name="AccountsSecurityTable" id="1">
  <tableColumns count="12">
    <tableColumn name="Account ref" id="1"/>
    <tableColumn name="System" id="2"/>
    <tableColumn name="Account / access point" id="3"/>
    <tableColumn name="What it is used for" id="4"/>
    <tableColumn name="Active?" id="5"/>
    <tableColumn name="Access level" id="6"/>
    <tableColumn name="MFA/2FA required?" id="7"/>
    <tableColumn name="MFA/2FA status" id="8"/>
    <tableColumn name="Last reviewed" id="9"/>
    <tableColumn name="Action needed" id="10"/>
    <tableColumn name="Owner (role)" id="11"/>
    <tableColumn name="Status" id="12"/>
  </tableColumns>
  <tableStyleInfo name="Accounts &amp; Security-style" showColumnStripes="0" showFirstColumn="1" showLastColumn="1" showRowStripes="1"/>
</table>
</file>

<file path=xl/tables/table3.xml><?xml version="1.0" encoding="utf-8"?>
<table xmlns="http://schemas.openxmlformats.org/spreadsheetml/2006/main" ref="A4:H33" displayName="BackupRecoveryTable" name="BackupRecoveryTable" id="3">
  <tableColumns count="8">
    <tableColumn name="Ref" id="1"/>
    <tableColumn name="System / data" id="2"/>
    <tableColumn name="Why it matters" id="3"/>
    <tableColumn name="Backup in place?" id="4"/>
    <tableColumn name="How often?" id="5"/>
    <tableColumn name="Backup status" id="6"/>
    <tableColumn name="Recovery result" id="7"/>
    <tableColumn name="Recovery owner (role)" id="8"/>
  </tableColumns>
  <tableStyleInfo name="Backup &amp; Recovery-style" showColumnStripes="0" showFirstColumn="1" showLastColumn="1" showRowStripes="1"/>
</table>
</file>

<file path=xl/tables/table4.xml><?xml version="1.0" encoding="utf-8"?>
<table xmlns="http://schemas.openxmlformats.org/spreadsheetml/2006/main" ref="A4:G14" displayName="MonthlyControlCheckTable" name="MonthlyControlCheckTable" id="4">
  <tableColumns count="7">
    <tableColumn name="Control area requested by Example Co" id="1"/>
    <tableColumn name="What was checked" id="2"/>
    <tableColumn name="Current position" id="3"/>
    <tableColumn name="Evidence / date" id="4"/>
    <tableColumn name="Next action" id="5"/>
    <tableColumn name="Owner (role)" id="6"/>
    <tableColumn name="Due date" id="7"/>
  </tableColumns>
  <tableStyleInfo name="Monthly Control Check-style" showColumnStripes="0" showFirstColumn="1" showLastColumn="1" showRowStripes="1"/>
</table>
</file>

<file path=xl/tables/table5.xml><?xml version="1.0" encoding="utf-8"?>
<table xmlns="http://schemas.openxmlformats.org/spreadsheetml/2006/main" ref="A4:H34" displayName="OpenItemsTable" name="OpenItemsTable" id="5">
  <tableColumns count="8">
    <tableColumn name="Ref" id="1"/>
    <tableColumn name="Area / system" id="2"/>
    <tableColumn name="What needs attention" id="3"/>
    <tableColumn name="Priority" id="4"/>
    <tableColumn name="Owner (role)" id="5"/>
    <tableColumn name="Status" id="6"/>
    <tableColumn name="Due date" id="7"/>
    <tableColumn name="Decision / support needed" id="8"/>
  </tableColumns>
  <tableStyleInfo name="Open Ite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55.0"/>
    <col customWidth="1" min="3" max="6" width="4.0"/>
    <col customWidth="1" min="7" max="24" width="8.63"/>
  </cols>
  <sheetData>
    <row r="1" ht="27.75" customHeight="1">
      <c r="A1" s="1" t="s">
        <v>0</v>
      </c>
      <c r="B1" s="2"/>
      <c r="C1" s="2"/>
      <c r="D1" s="2"/>
      <c r="E1" s="2"/>
      <c r="F1" s="3"/>
    </row>
    <row r="2" ht="30.0" customHeight="1">
      <c r="A2" s="4"/>
      <c r="B2" s="2"/>
      <c r="C2" s="2"/>
      <c r="D2" s="2"/>
      <c r="E2" s="2"/>
      <c r="F2" s="3"/>
    </row>
    <row r="3">
      <c r="A3" s="5"/>
      <c r="B3" s="5"/>
      <c r="C3" s="7"/>
      <c r="D3" s="9"/>
      <c r="E3" s="9"/>
      <c r="F3" s="11"/>
    </row>
    <row r="4">
      <c r="A4" s="13" t="s">
        <v>4</v>
      </c>
      <c r="B4" s="14" t="s">
        <v>7</v>
      </c>
      <c r="C4" s="16"/>
      <c r="F4" s="17"/>
    </row>
    <row r="5">
      <c r="A5" s="18" t="s">
        <v>13</v>
      </c>
      <c r="B5" s="18" t="s">
        <v>15</v>
      </c>
      <c r="C5" s="16"/>
      <c r="F5" s="17"/>
    </row>
    <row r="6">
      <c r="A6" s="18" t="s">
        <v>1</v>
      </c>
      <c r="B6" s="19" t="s">
        <v>22</v>
      </c>
      <c r="C6" s="16"/>
      <c r="F6" s="17"/>
    </row>
    <row r="7">
      <c r="A7" s="18" t="s">
        <v>3</v>
      </c>
      <c r="B7" s="18" t="s">
        <v>26</v>
      </c>
      <c r="C7" s="16"/>
      <c r="F7" s="17"/>
    </row>
    <row r="8">
      <c r="A8" s="19" t="s">
        <v>30</v>
      </c>
      <c r="B8" s="19" t="s">
        <v>31</v>
      </c>
      <c r="C8" s="16"/>
      <c r="F8" s="17"/>
    </row>
    <row r="9">
      <c r="A9" s="18" t="s">
        <v>35</v>
      </c>
      <c r="B9" s="18" t="s">
        <v>36</v>
      </c>
      <c r="C9" s="16"/>
      <c r="F9" s="17"/>
    </row>
    <row r="10">
      <c r="A10" s="18" t="s">
        <v>38</v>
      </c>
      <c r="B10" s="18" t="s">
        <v>40</v>
      </c>
      <c r="C10" s="16"/>
      <c r="F10" s="17"/>
    </row>
    <row r="11">
      <c r="A11" s="18" t="s">
        <v>42</v>
      </c>
      <c r="B11" s="18" t="s">
        <v>43</v>
      </c>
      <c r="C11" s="16"/>
      <c r="F11" s="17"/>
    </row>
    <row r="12">
      <c r="A12" s="5"/>
      <c r="B12" s="5"/>
      <c r="C12" s="21"/>
      <c r="D12" s="22"/>
      <c r="E12" s="22"/>
      <c r="F12" s="23"/>
    </row>
    <row r="13">
      <c r="A13" s="24" t="s">
        <v>50</v>
      </c>
      <c r="B13" s="2"/>
      <c r="C13" s="2"/>
      <c r="D13" s="2"/>
      <c r="E13" s="2"/>
      <c r="F13" s="3"/>
    </row>
    <row r="14" ht="15.75" customHeight="1">
      <c r="A14" s="26" t="s">
        <v>59</v>
      </c>
      <c r="B14" s="18" t="s">
        <v>62</v>
      </c>
      <c r="C14" s="7"/>
      <c r="D14" s="9"/>
      <c r="E14" s="9"/>
      <c r="F14" s="11"/>
    </row>
    <row r="15" ht="15.75" customHeight="1">
      <c r="A15" s="27" t="s">
        <v>66</v>
      </c>
      <c r="B15" s="18" t="s">
        <v>69</v>
      </c>
      <c r="C15" s="16"/>
      <c r="F15" s="17"/>
    </row>
    <row r="16" ht="15.75" customHeight="1">
      <c r="A16" s="29" t="s">
        <v>81</v>
      </c>
      <c r="B16" s="18" t="s">
        <v>84</v>
      </c>
      <c r="C16" s="16"/>
      <c r="F16" s="17"/>
    </row>
    <row r="17" ht="15.75" customHeight="1">
      <c r="A17" s="30" t="s">
        <v>86</v>
      </c>
      <c r="B17" s="18" t="s">
        <v>87</v>
      </c>
      <c r="C17" s="21"/>
      <c r="D17" s="22"/>
      <c r="E17" s="22"/>
      <c r="F17" s="23"/>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5">
    <mergeCell ref="A1:F1"/>
    <mergeCell ref="A2:F2"/>
    <mergeCell ref="A13:F13"/>
    <mergeCell ref="C3:F12"/>
    <mergeCell ref="C14:F1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5.0"/>
    <col customWidth="1" min="3" max="3" width="34.0"/>
    <col customWidth="1" min="4" max="4" width="22.0"/>
    <col customWidth="1" min="5" max="5" width="20.0"/>
    <col customWidth="1" min="6" max="6" width="28.0"/>
    <col customWidth="1" min="7" max="7" width="23.0"/>
    <col customWidth="1" min="8" max="8" width="14.0"/>
    <col customWidth="1" min="9" max="9" width="18.0"/>
    <col customWidth="1" min="10" max="10" width="30.0"/>
    <col customWidth="1" min="11" max="11" width="14.0"/>
    <col customWidth="1" min="12" max="12" width="28.0"/>
    <col customWidth="1" min="13" max="13" width="24.0"/>
    <col customWidth="1" min="14" max="14" width="14.0"/>
    <col customWidth="1" min="15" max="24" width="8.63"/>
  </cols>
  <sheetData>
    <row r="1" ht="27.75" customHeight="1">
      <c r="A1" s="6" t="s">
        <v>2</v>
      </c>
    </row>
    <row r="2" ht="30.0" customHeight="1">
      <c r="A2" s="8"/>
    </row>
    <row r="3">
      <c r="A3" s="10"/>
      <c r="B3" s="10"/>
      <c r="C3" s="10"/>
      <c r="D3" s="10"/>
      <c r="E3" s="10"/>
      <c r="F3" s="10"/>
      <c r="G3" s="10"/>
      <c r="H3" s="12"/>
      <c r="I3" s="10"/>
      <c r="J3" s="10"/>
      <c r="K3" s="10"/>
      <c r="L3" s="10"/>
      <c r="M3" s="10"/>
      <c r="N3" s="10"/>
    </row>
    <row r="4" ht="37.5" customHeight="1">
      <c r="A4" s="15" t="s">
        <v>8</v>
      </c>
      <c r="B4" s="15" t="s">
        <v>11</v>
      </c>
      <c r="C4" s="15" t="s">
        <v>18</v>
      </c>
      <c r="D4" s="15" t="s">
        <v>21</v>
      </c>
      <c r="E4" s="15" t="s">
        <v>25</v>
      </c>
      <c r="F4" s="15" t="s">
        <v>29</v>
      </c>
      <c r="G4" s="15" t="s">
        <v>34</v>
      </c>
      <c r="H4" s="15" t="s">
        <v>39</v>
      </c>
      <c r="I4" s="15" t="s">
        <v>44</v>
      </c>
      <c r="J4" s="15" t="s">
        <v>51</v>
      </c>
      <c r="K4" s="15" t="s">
        <v>52</v>
      </c>
      <c r="L4" s="15" t="s">
        <v>46</v>
      </c>
      <c r="M4" s="15" t="s">
        <v>57</v>
      </c>
      <c r="N4" s="15" t="s">
        <v>61</v>
      </c>
    </row>
    <row r="5">
      <c r="A5" s="20" t="s">
        <v>65</v>
      </c>
      <c r="B5" s="20" t="s">
        <v>45</v>
      </c>
      <c r="C5" s="20" t="s">
        <v>72</v>
      </c>
      <c r="D5" s="25" t="s">
        <v>199</v>
      </c>
      <c r="E5" s="25" t="s">
        <v>54</v>
      </c>
      <c r="F5" s="25" t="s">
        <v>54</v>
      </c>
      <c r="G5" s="20"/>
      <c r="H5" s="28">
        <v>46347.0</v>
      </c>
      <c r="I5" s="25" t="s">
        <v>66</v>
      </c>
      <c r="J5" s="25" t="s">
        <v>83</v>
      </c>
      <c r="K5" s="25" t="s">
        <v>74</v>
      </c>
      <c r="L5" s="25" t="s">
        <v>88</v>
      </c>
      <c r="M5" s="25" t="s">
        <v>91</v>
      </c>
      <c r="N5" s="25" t="s">
        <v>93</v>
      </c>
    </row>
    <row r="6">
      <c r="A6" s="20" t="s">
        <v>95</v>
      </c>
      <c r="B6" s="20" t="s">
        <v>70</v>
      </c>
      <c r="C6" s="20" t="s">
        <v>96</v>
      </c>
      <c r="D6" s="25" t="s">
        <v>199</v>
      </c>
      <c r="E6" s="25" t="s">
        <v>54</v>
      </c>
      <c r="F6" s="25" t="s">
        <v>54</v>
      </c>
      <c r="G6" s="20"/>
      <c r="H6" s="31">
        <v>46426.0</v>
      </c>
      <c r="I6" s="25" t="s">
        <v>59</v>
      </c>
      <c r="J6" s="25" t="s">
        <v>101</v>
      </c>
      <c r="K6" s="25" t="s">
        <v>74</v>
      </c>
      <c r="L6" s="25" t="s">
        <v>103</v>
      </c>
      <c r="M6" s="25" t="s">
        <v>105</v>
      </c>
      <c r="N6" s="25" t="s">
        <v>107</v>
      </c>
    </row>
    <row r="7">
      <c r="A7" s="20" t="s">
        <v>108</v>
      </c>
      <c r="B7" s="20" t="s">
        <v>109</v>
      </c>
      <c r="C7" s="20" t="s">
        <v>110</v>
      </c>
      <c r="D7" s="25" t="s">
        <v>199</v>
      </c>
      <c r="E7" s="25" t="s">
        <v>54</v>
      </c>
      <c r="F7" s="25" t="s">
        <v>54</v>
      </c>
      <c r="G7" s="20"/>
      <c r="H7" s="31">
        <v>46426.0</v>
      </c>
      <c r="I7" s="25" t="s">
        <v>59</v>
      </c>
      <c r="J7" s="25" t="s">
        <v>114</v>
      </c>
      <c r="K7" s="25" t="s">
        <v>74</v>
      </c>
      <c r="L7" s="25" t="s">
        <v>115</v>
      </c>
      <c r="M7" s="25" t="s">
        <v>105</v>
      </c>
      <c r="N7" s="25" t="s">
        <v>107</v>
      </c>
    </row>
    <row r="8">
      <c r="A8" s="20" t="s">
        <v>116</v>
      </c>
      <c r="B8" s="20" t="s">
        <v>119</v>
      </c>
      <c r="C8" s="20" t="s">
        <v>121</v>
      </c>
      <c r="D8" s="25" t="s">
        <v>199</v>
      </c>
      <c r="E8" s="25" t="s">
        <v>54</v>
      </c>
      <c r="F8" s="25" t="s">
        <v>54</v>
      </c>
      <c r="G8" s="20"/>
      <c r="H8" s="31">
        <v>46426.0</v>
      </c>
      <c r="I8" s="25" t="s">
        <v>59</v>
      </c>
      <c r="J8" s="25" t="s">
        <v>125</v>
      </c>
      <c r="K8" s="25" t="s">
        <v>74</v>
      </c>
      <c r="L8" s="25" t="s">
        <v>115</v>
      </c>
      <c r="M8" s="25" t="s">
        <v>105</v>
      </c>
      <c r="N8" s="25" t="s">
        <v>107</v>
      </c>
    </row>
    <row r="9">
      <c r="A9" s="20" t="s">
        <v>127</v>
      </c>
      <c r="B9" s="20" t="s">
        <v>128</v>
      </c>
      <c r="C9" s="20" t="s">
        <v>129</v>
      </c>
      <c r="D9" s="25" t="s">
        <v>199</v>
      </c>
      <c r="E9" s="25" t="s">
        <v>54</v>
      </c>
      <c r="F9" s="25" t="s">
        <v>54</v>
      </c>
      <c r="G9" s="20"/>
      <c r="H9" s="31">
        <v>46426.0</v>
      </c>
      <c r="I9" s="25" t="s">
        <v>59</v>
      </c>
      <c r="J9" s="25" t="s">
        <v>130</v>
      </c>
      <c r="K9" s="25" t="s">
        <v>74</v>
      </c>
      <c r="L9" s="25" t="s">
        <v>130</v>
      </c>
      <c r="M9" s="25" t="s">
        <v>105</v>
      </c>
      <c r="N9" s="25" t="s">
        <v>107</v>
      </c>
    </row>
    <row r="10">
      <c r="A10" s="20" t="s">
        <v>131</v>
      </c>
      <c r="B10" s="20" t="s">
        <v>132</v>
      </c>
      <c r="C10" s="20" t="s">
        <v>133</v>
      </c>
      <c r="D10" s="25" t="s">
        <v>199</v>
      </c>
      <c r="E10" s="25" t="s">
        <v>54</v>
      </c>
      <c r="F10" s="25" t="s">
        <v>54</v>
      </c>
      <c r="G10" s="20"/>
      <c r="H10" s="31">
        <v>46426.0</v>
      </c>
      <c r="I10" s="25" t="s">
        <v>59</v>
      </c>
      <c r="J10" s="25" t="s">
        <v>134</v>
      </c>
      <c r="K10" s="25" t="s">
        <v>74</v>
      </c>
      <c r="L10" s="25" t="s">
        <v>134</v>
      </c>
      <c r="M10" s="25" t="s">
        <v>105</v>
      </c>
      <c r="N10" s="25" t="s">
        <v>107</v>
      </c>
    </row>
    <row r="11">
      <c r="A11" s="20" t="s">
        <v>135</v>
      </c>
      <c r="B11" s="20" t="s">
        <v>136</v>
      </c>
      <c r="C11" s="20" t="s">
        <v>137</v>
      </c>
      <c r="D11" s="25" t="s">
        <v>124</v>
      </c>
      <c r="E11" s="25" t="s">
        <v>54</v>
      </c>
      <c r="F11" s="25" t="s">
        <v>54</v>
      </c>
      <c r="G11" s="20"/>
      <c r="H11" s="33" t="s">
        <v>107</v>
      </c>
      <c r="I11" s="25" t="s">
        <v>59</v>
      </c>
      <c r="J11" s="25" t="s">
        <v>138</v>
      </c>
      <c r="K11" s="25" t="s">
        <v>74</v>
      </c>
      <c r="L11" s="25" t="s">
        <v>138</v>
      </c>
      <c r="M11" s="25" t="s">
        <v>124</v>
      </c>
      <c r="N11" s="25" t="s">
        <v>107</v>
      </c>
    </row>
    <row r="12">
      <c r="A12" s="20" t="s">
        <v>139</v>
      </c>
      <c r="B12" s="20" t="s">
        <v>140</v>
      </c>
      <c r="C12" s="20" t="s">
        <v>141</v>
      </c>
      <c r="D12" s="25" t="s">
        <v>199</v>
      </c>
      <c r="E12" s="25" t="s">
        <v>54</v>
      </c>
      <c r="F12" s="25" t="s">
        <v>54</v>
      </c>
      <c r="G12" s="20"/>
      <c r="H12" s="33" t="s">
        <v>107</v>
      </c>
      <c r="I12" s="25" t="s">
        <v>59</v>
      </c>
      <c r="J12" s="25" t="s">
        <v>142</v>
      </c>
      <c r="K12" s="25" t="s">
        <v>74</v>
      </c>
      <c r="L12" s="25" t="s">
        <v>142</v>
      </c>
      <c r="M12" s="25" t="s">
        <v>64</v>
      </c>
      <c r="N12" s="25" t="s">
        <v>107</v>
      </c>
    </row>
    <row r="13">
      <c r="A13" s="25" t="s">
        <v>143</v>
      </c>
      <c r="B13" s="20" t="s">
        <v>144</v>
      </c>
      <c r="C13" s="20" t="s">
        <v>145</v>
      </c>
      <c r="D13" s="25" t="s">
        <v>199</v>
      </c>
      <c r="E13" s="25" t="s">
        <v>54</v>
      </c>
      <c r="F13" s="25" t="s">
        <v>54</v>
      </c>
      <c r="G13" s="20"/>
      <c r="H13" s="33" t="s">
        <v>107</v>
      </c>
      <c r="I13" s="25" t="s">
        <v>59</v>
      </c>
      <c r="J13" s="25" t="s">
        <v>146</v>
      </c>
      <c r="K13" s="25" t="s">
        <v>74</v>
      </c>
      <c r="L13" s="25" t="s">
        <v>146</v>
      </c>
      <c r="M13" s="25" t="s">
        <v>64</v>
      </c>
      <c r="N13" s="25" t="s">
        <v>107</v>
      </c>
    </row>
    <row r="14">
      <c r="A14" s="20"/>
      <c r="B14" s="20"/>
      <c r="C14" s="20"/>
      <c r="D14" s="20"/>
      <c r="E14" s="20"/>
      <c r="F14" s="20"/>
      <c r="G14" s="20"/>
      <c r="H14" s="34"/>
      <c r="I14" s="20"/>
      <c r="J14" s="20"/>
      <c r="K14" s="32"/>
      <c r="L14" s="20"/>
      <c r="M14" s="20"/>
      <c r="N14" s="32"/>
    </row>
    <row r="15">
      <c r="A15" s="20"/>
      <c r="B15" s="20"/>
      <c r="C15" s="20"/>
      <c r="D15" s="20"/>
      <c r="E15" s="20"/>
      <c r="F15" s="20"/>
      <c r="G15" s="20"/>
      <c r="H15" s="34"/>
      <c r="I15" s="20"/>
      <c r="J15" s="20"/>
      <c r="K15" s="32"/>
      <c r="L15" s="20"/>
      <c r="M15" s="20"/>
      <c r="N15" s="32"/>
    </row>
    <row r="16">
      <c r="A16" s="20"/>
      <c r="B16" s="20"/>
      <c r="C16" s="20"/>
      <c r="D16" s="20"/>
      <c r="E16" s="20"/>
      <c r="F16" s="20"/>
      <c r="G16" s="20"/>
      <c r="H16" s="34"/>
      <c r="I16" s="20"/>
      <c r="J16" s="20"/>
      <c r="K16" s="32"/>
      <c r="L16" s="20"/>
      <c r="M16" s="20"/>
      <c r="N16" s="32"/>
    </row>
    <row r="17">
      <c r="A17" s="20"/>
      <c r="B17" s="20"/>
      <c r="C17" s="20"/>
      <c r="D17" s="20"/>
      <c r="E17" s="20"/>
      <c r="F17" s="20"/>
      <c r="G17" s="20"/>
      <c r="H17" s="34"/>
      <c r="I17" s="20"/>
      <c r="J17" s="20"/>
      <c r="K17" s="32"/>
      <c r="L17" s="20"/>
      <c r="M17" s="20"/>
      <c r="N17" s="32"/>
    </row>
    <row r="18">
      <c r="A18" s="20"/>
      <c r="B18" s="20"/>
      <c r="C18" s="20"/>
      <c r="D18" s="20"/>
      <c r="E18" s="20"/>
      <c r="F18" s="20"/>
      <c r="G18" s="20"/>
      <c r="H18" s="34"/>
      <c r="I18" s="20"/>
      <c r="J18" s="20"/>
      <c r="K18" s="32"/>
      <c r="L18" s="20"/>
      <c r="M18" s="20"/>
      <c r="N18" s="32"/>
    </row>
    <row r="19">
      <c r="A19" s="20"/>
      <c r="B19" s="20"/>
      <c r="C19" s="20"/>
      <c r="D19" s="20"/>
      <c r="E19" s="20"/>
      <c r="F19" s="20"/>
      <c r="G19" s="20"/>
      <c r="H19" s="34"/>
      <c r="I19" s="20"/>
      <c r="J19" s="20"/>
      <c r="K19" s="32"/>
      <c r="L19" s="20"/>
      <c r="M19" s="20"/>
      <c r="N19" s="32"/>
    </row>
    <row r="20" ht="15.75" customHeight="1">
      <c r="A20" s="20"/>
      <c r="B20" s="20"/>
      <c r="C20" s="20"/>
      <c r="D20" s="20"/>
      <c r="E20" s="20"/>
      <c r="F20" s="20"/>
      <c r="G20" s="20"/>
      <c r="H20" s="34"/>
      <c r="I20" s="20"/>
      <c r="J20" s="20"/>
      <c r="K20" s="32"/>
      <c r="L20" s="20"/>
      <c r="M20" s="20"/>
      <c r="N20" s="32"/>
    </row>
    <row r="21" ht="15.75" customHeight="1">
      <c r="A21" s="20"/>
      <c r="B21" s="20"/>
      <c r="C21" s="20"/>
      <c r="D21" s="20"/>
      <c r="E21" s="20"/>
      <c r="F21" s="20"/>
      <c r="G21" s="20"/>
      <c r="H21" s="34"/>
      <c r="I21" s="20"/>
      <c r="J21" s="20"/>
      <c r="K21" s="32"/>
      <c r="L21" s="20"/>
      <c r="M21" s="20"/>
      <c r="N21" s="32"/>
    </row>
    <row r="22" ht="15.75" customHeight="1">
      <c r="A22" s="20"/>
      <c r="B22" s="20"/>
      <c r="C22" s="20"/>
      <c r="D22" s="20"/>
      <c r="E22" s="20"/>
      <c r="F22" s="20"/>
      <c r="G22" s="20"/>
      <c r="H22" s="34"/>
      <c r="I22" s="20"/>
      <c r="J22" s="20"/>
      <c r="K22" s="32"/>
      <c r="L22" s="20"/>
      <c r="M22" s="20"/>
      <c r="N22" s="32"/>
    </row>
    <row r="23" ht="15.75" customHeight="1">
      <c r="A23" s="20"/>
      <c r="B23" s="20"/>
      <c r="C23" s="20"/>
      <c r="D23" s="20"/>
      <c r="E23" s="20"/>
      <c r="F23" s="20"/>
      <c r="G23" s="20"/>
      <c r="H23" s="34"/>
      <c r="I23" s="20"/>
      <c r="J23" s="20"/>
      <c r="K23" s="32"/>
      <c r="L23" s="20"/>
      <c r="M23" s="20"/>
      <c r="N23" s="32"/>
    </row>
    <row r="24" ht="15.75" customHeight="1">
      <c r="A24" s="20"/>
      <c r="B24" s="20"/>
      <c r="C24" s="20"/>
      <c r="D24" s="20"/>
      <c r="E24" s="20"/>
      <c r="F24" s="20"/>
      <c r="G24" s="20"/>
      <c r="H24" s="34"/>
      <c r="I24" s="20"/>
      <c r="J24" s="20"/>
      <c r="K24" s="32"/>
      <c r="L24" s="20"/>
      <c r="M24" s="20"/>
      <c r="N24" s="32"/>
    </row>
    <row r="25" ht="15.75" customHeight="1">
      <c r="A25" s="20"/>
      <c r="B25" s="20"/>
      <c r="C25" s="20"/>
      <c r="D25" s="20"/>
      <c r="E25" s="20"/>
      <c r="F25" s="20"/>
      <c r="G25" s="20"/>
      <c r="H25" s="34"/>
      <c r="I25" s="20"/>
      <c r="J25" s="20"/>
      <c r="K25" s="32"/>
      <c r="L25" s="20"/>
      <c r="M25" s="20"/>
      <c r="N25" s="32"/>
    </row>
    <row r="26" ht="15.75" customHeight="1">
      <c r="A26" s="20"/>
      <c r="B26" s="20"/>
      <c r="C26" s="20"/>
      <c r="D26" s="20"/>
      <c r="E26" s="20"/>
      <c r="F26" s="20"/>
      <c r="G26" s="20"/>
      <c r="H26" s="34"/>
      <c r="I26" s="20"/>
      <c r="J26" s="20"/>
      <c r="K26" s="32"/>
      <c r="L26" s="20"/>
      <c r="M26" s="20"/>
      <c r="N26" s="32"/>
    </row>
    <row r="27" ht="15.75" customHeight="1">
      <c r="A27" s="20"/>
      <c r="B27" s="20"/>
      <c r="C27" s="20"/>
      <c r="D27" s="20"/>
      <c r="E27" s="20"/>
      <c r="F27" s="20"/>
      <c r="G27" s="20"/>
      <c r="H27" s="34"/>
      <c r="I27" s="20"/>
      <c r="J27" s="20"/>
      <c r="K27" s="32"/>
      <c r="L27" s="20"/>
      <c r="M27" s="20"/>
      <c r="N27" s="32"/>
    </row>
    <row r="28" ht="15.75" customHeight="1">
      <c r="A28" s="20"/>
      <c r="B28" s="20"/>
      <c r="C28" s="20"/>
      <c r="D28" s="20"/>
      <c r="E28" s="20"/>
      <c r="F28" s="20"/>
      <c r="G28" s="20"/>
      <c r="H28" s="34"/>
      <c r="I28" s="20"/>
      <c r="J28" s="20"/>
      <c r="K28" s="32"/>
      <c r="L28" s="20"/>
      <c r="M28" s="20"/>
      <c r="N28" s="32"/>
    </row>
    <row r="29" ht="15.75" customHeight="1">
      <c r="A29" s="20"/>
      <c r="B29" s="20"/>
      <c r="C29" s="20"/>
      <c r="D29" s="20"/>
      <c r="E29" s="20"/>
      <c r="F29" s="20"/>
      <c r="G29" s="20"/>
      <c r="H29" s="34"/>
      <c r="I29" s="20"/>
      <c r="J29" s="20"/>
      <c r="K29" s="32"/>
      <c r="L29" s="20"/>
      <c r="M29" s="20"/>
      <c r="N29" s="32"/>
    </row>
    <row r="30" ht="15.75" customHeight="1">
      <c r="A30" s="20"/>
      <c r="B30" s="20"/>
      <c r="C30" s="20"/>
      <c r="D30" s="20"/>
      <c r="E30" s="20"/>
      <c r="F30" s="20"/>
      <c r="G30" s="20"/>
      <c r="H30" s="34"/>
      <c r="I30" s="20"/>
      <c r="J30" s="20"/>
      <c r="K30" s="32"/>
      <c r="L30" s="20"/>
      <c r="M30" s="20"/>
      <c r="N30" s="32"/>
    </row>
    <row r="31" ht="15.75" customHeight="1">
      <c r="A31" s="20"/>
      <c r="B31" s="20"/>
      <c r="C31" s="20"/>
      <c r="D31" s="20"/>
      <c r="E31" s="20"/>
      <c r="F31" s="20"/>
      <c r="G31" s="20"/>
      <c r="H31" s="34"/>
      <c r="I31" s="20"/>
      <c r="J31" s="20"/>
      <c r="K31" s="32"/>
      <c r="L31" s="20"/>
      <c r="M31" s="20"/>
      <c r="N31" s="32"/>
    </row>
    <row r="32" ht="15.75" customHeight="1">
      <c r="A32" s="20"/>
      <c r="B32" s="20"/>
      <c r="C32" s="20"/>
      <c r="D32" s="20"/>
      <c r="E32" s="20"/>
      <c r="F32" s="20"/>
      <c r="G32" s="20"/>
      <c r="H32" s="34"/>
      <c r="I32" s="20"/>
      <c r="J32" s="20"/>
      <c r="K32" s="32"/>
      <c r="L32" s="20"/>
      <c r="M32" s="20"/>
      <c r="N32" s="32"/>
    </row>
    <row r="33" ht="15.75" customHeight="1">
      <c r="A33" s="20"/>
      <c r="B33" s="20"/>
      <c r="C33" s="20"/>
      <c r="D33" s="20"/>
      <c r="E33" s="20"/>
      <c r="F33" s="20"/>
      <c r="G33" s="20"/>
      <c r="H33" s="34"/>
      <c r="I33" s="20"/>
      <c r="J33" s="20"/>
      <c r="K33" s="32"/>
      <c r="L33" s="20"/>
      <c r="M33" s="20"/>
      <c r="N33" s="32"/>
    </row>
    <row r="34" ht="15.75" customHeight="1">
      <c r="H34" s="35"/>
    </row>
    <row r="35" ht="15.75" customHeight="1">
      <c r="H35" s="35"/>
    </row>
    <row r="36" ht="15.75" customHeight="1">
      <c r="H36" s="35"/>
    </row>
    <row r="37" ht="15.75" customHeight="1">
      <c r="H37" s="35"/>
    </row>
    <row r="38" ht="15.75" customHeight="1">
      <c r="H38" s="35"/>
    </row>
    <row r="39" ht="15.75" customHeight="1">
      <c r="H39" s="35"/>
    </row>
    <row r="40" ht="15.75" customHeight="1">
      <c r="H40" s="35"/>
    </row>
    <row r="41" ht="15.75" customHeight="1">
      <c r="H41" s="35"/>
    </row>
    <row r="42" ht="15.75" customHeight="1">
      <c r="H42" s="35"/>
    </row>
    <row r="43" ht="15.75" customHeight="1">
      <c r="H43" s="35"/>
    </row>
    <row r="44" ht="15.75" customHeight="1">
      <c r="H44" s="35"/>
    </row>
    <row r="45" ht="15.75" customHeight="1">
      <c r="H45" s="35"/>
    </row>
    <row r="46" ht="15.75" customHeight="1">
      <c r="H46" s="35"/>
    </row>
    <row r="47" ht="15.75" customHeight="1">
      <c r="H47" s="35"/>
    </row>
    <row r="48" ht="15.75" customHeight="1">
      <c r="H48" s="35"/>
    </row>
    <row r="49" ht="15.75" customHeight="1">
      <c r="H49" s="35"/>
    </row>
    <row r="50" ht="15.75" customHeight="1">
      <c r="H50" s="35"/>
    </row>
    <row r="51" ht="15.75" customHeight="1">
      <c r="H51" s="35"/>
    </row>
    <row r="52" ht="15.75" customHeight="1">
      <c r="H52" s="35"/>
    </row>
    <row r="53" ht="15.75" customHeight="1">
      <c r="H53" s="35"/>
    </row>
    <row r="54" ht="15.75" customHeight="1">
      <c r="H54" s="35"/>
    </row>
    <row r="55" ht="15.75" customHeight="1">
      <c r="H55" s="35"/>
    </row>
    <row r="56" ht="15.75" customHeight="1">
      <c r="H56" s="35"/>
    </row>
    <row r="57" ht="15.75" customHeight="1">
      <c r="H57" s="35"/>
    </row>
    <row r="58" ht="15.75" customHeight="1">
      <c r="H58" s="35"/>
    </row>
    <row r="59" ht="15.75" customHeight="1">
      <c r="H59" s="35"/>
    </row>
    <row r="60" ht="15.75" customHeight="1">
      <c r="H60" s="35"/>
    </row>
    <row r="61" ht="15.75" customHeight="1">
      <c r="H61" s="35"/>
    </row>
    <row r="62" ht="15.75" customHeight="1">
      <c r="H62" s="35"/>
    </row>
    <row r="63" ht="15.75" customHeight="1">
      <c r="H63" s="35"/>
    </row>
    <row r="64" ht="15.75" customHeight="1">
      <c r="H64" s="35"/>
    </row>
    <row r="65" ht="15.75" customHeight="1">
      <c r="H65" s="35"/>
    </row>
    <row r="66" ht="15.75" customHeight="1">
      <c r="H66" s="35"/>
    </row>
    <row r="67" ht="15.75" customHeight="1">
      <c r="H67" s="35"/>
    </row>
    <row r="68" ht="15.75" customHeight="1">
      <c r="H68" s="35"/>
    </row>
    <row r="69" ht="15.75" customHeight="1">
      <c r="H69" s="35"/>
    </row>
    <row r="70" ht="15.75" customHeight="1">
      <c r="H70" s="35"/>
    </row>
    <row r="71" ht="15.75" customHeight="1">
      <c r="H71" s="35"/>
    </row>
    <row r="72" ht="15.75" customHeight="1">
      <c r="H72" s="35"/>
    </row>
    <row r="73" ht="15.75" customHeight="1">
      <c r="H73" s="35"/>
    </row>
    <row r="74" ht="15.75" customHeight="1">
      <c r="H74" s="35"/>
    </row>
    <row r="75" ht="15.75" customHeight="1">
      <c r="H75" s="35"/>
    </row>
    <row r="76" ht="15.75" customHeight="1">
      <c r="H76" s="35"/>
    </row>
    <row r="77" ht="15.75" customHeight="1">
      <c r="H77" s="35"/>
    </row>
    <row r="78" ht="15.75" customHeight="1">
      <c r="H78" s="35"/>
    </row>
    <row r="79" ht="15.75" customHeight="1">
      <c r="H79" s="35"/>
    </row>
    <row r="80" ht="15.75" customHeight="1">
      <c r="H80" s="35"/>
    </row>
    <row r="81" ht="15.75" customHeight="1">
      <c r="H81" s="35"/>
    </row>
    <row r="82" ht="15.75" customHeight="1">
      <c r="H82" s="35"/>
    </row>
    <row r="83" ht="15.75" customHeight="1">
      <c r="H83" s="35"/>
    </row>
    <row r="84" ht="15.75" customHeight="1">
      <c r="H84" s="35"/>
    </row>
    <row r="85" ht="15.75" customHeight="1">
      <c r="H85" s="35"/>
    </row>
    <row r="86" ht="15.75" customHeight="1">
      <c r="H86" s="35"/>
    </row>
    <row r="87" ht="15.75" customHeight="1">
      <c r="H87" s="35"/>
    </row>
    <row r="88" ht="15.75" customHeight="1">
      <c r="H88" s="35"/>
    </row>
    <row r="89" ht="15.75" customHeight="1">
      <c r="H89" s="35"/>
    </row>
    <row r="90" ht="15.75" customHeight="1">
      <c r="H90" s="35"/>
    </row>
    <row r="91" ht="15.75" customHeight="1">
      <c r="H91" s="35"/>
    </row>
    <row r="92" ht="15.75" customHeight="1">
      <c r="H92" s="35"/>
    </row>
    <row r="93" ht="15.75" customHeight="1">
      <c r="H93" s="35"/>
    </row>
    <row r="94" ht="15.75" customHeight="1">
      <c r="H94" s="35"/>
    </row>
    <row r="95" ht="15.75" customHeight="1">
      <c r="H95" s="35"/>
    </row>
    <row r="96" ht="15.75" customHeight="1">
      <c r="H96" s="35"/>
    </row>
    <row r="97" ht="15.75" customHeight="1">
      <c r="H97" s="35"/>
    </row>
    <row r="98" ht="15.75" customHeight="1">
      <c r="H98" s="35"/>
    </row>
    <row r="99" ht="15.75" customHeight="1">
      <c r="H99" s="35"/>
    </row>
    <row r="100" ht="15.75" customHeight="1">
      <c r="H100" s="35"/>
    </row>
    <row r="101" ht="15.75" customHeight="1">
      <c r="H101" s="35"/>
    </row>
    <row r="102" ht="15.75" customHeight="1">
      <c r="H102" s="35"/>
    </row>
    <row r="103" ht="15.75" customHeight="1">
      <c r="H103" s="35"/>
    </row>
    <row r="104" ht="15.75" customHeight="1">
      <c r="H104" s="35"/>
    </row>
    <row r="105" ht="15.75" customHeight="1">
      <c r="H105" s="35"/>
    </row>
    <row r="106" ht="15.75" customHeight="1">
      <c r="H106" s="35"/>
    </row>
    <row r="107" ht="15.75" customHeight="1">
      <c r="H107" s="35"/>
    </row>
    <row r="108" ht="15.75" customHeight="1">
      <c r="H108" s="35"/>
    </row>
    <row r="109" ht="15.75" customHeight="1">
      <c r="H109" s="35"/>
    </row>
    <row r="110" ht="15.75" customHeight="1">
      <c r="H110" s="35"/>
    </row>
    <row r="111" ht="15.75" customHeight="1">
      <c r="H111" s="35"/>
    </row>
    <row r="112" ht="15.75" customHeight="1">
      <c r="H112" s="35"/>
    </row>
    <row r="113" ht="15.75" customHeight="1">
      <c r="H113" s="35"/>
    </row>
    <row r="114" ht="15.75" customHeight="1">
      <c r="H114" s="35"/>
    </row>
    <row r="115" ht="15.75" customHeight="1">
      <c r="H115" s="35"/>
    </row>
    <row r="116" ht="15.75" customHeight="1">
      <c r="H116" s="35"/>
    </row>
    <row r="117" ht="15.75" customHeight="1">
      <c r="H117" s="35"/>
    </row>
    <row r="118" ht="15.75" customHeight="1">
      <c r="H118" s="35"/>
    </row>
    <row r="119" ht="15.75" customHeight="1">
      <c r="H119" s="35"/>
    </row>
    <row r="120" ht="15.75" customHeight="1">
      <c r="H120" s="35"/>
    </row>
    <row r="121" ht="15.75" customHeight="1">
      <c r="H121" s="35"/>
    </row>
    <row r="122" ht="15.75" customHeight="1">
      <c r="H122" s="35"/>
    </row>
    <row r="123" ht="15.75" customHeight="1">
      <c r="H123" s="35"/>
    </row>
    <row r="124" ht="15.75" customHeight="1">
      <c r="H124" s="35"/>
    </row>
    <row r="125" ht="15.75" customHeight="1">
      <c r="H125" s="35"/>
    </row>
    <row r="126" ht="15.75" customHeight="1">
      <c r="H126" s="35"/>
    </row>
    <row r="127" ht="15.75" customHeight="1">
      <c r="H127" s="35"/>
    </row>
    <row r="128" ht="15.75" customHeight="1">
      <c r="H128" s="35"/>
    </row>
    <row r="129" ht="15.75" customHeight="1">
      <c r="H129" s="35"/>
    </row>
    <row r="130" ht="15.75" customHeight="1">
      <c r="H130" s="35"/>
    </row>
    <row r="131" ht="15.75" customHeight="1">
      <c r="H131" s="35"/>
    </row>
    <row r="132" ht="15.75" customHeight="1">
      <c r="H132" s="35"/>
    </row>
    <row r="133" ht="15.75" customHeight="1">
      <c r="H133" s="35"/>
    </row>
    <row r="134" ht="15.75" customHeight="1">
      <c r="H134" s="35"/>
    </row>
    <row r="135" ht="15.75" customHeight="1">
      <c r="H135" s="35"/>
    </row>
    <row r="136" ht="15.75" customHeight="1">
      <c r="H136" s="35"/>
    </row>
    <row r="137" ht="15.75" customHeight="1">
      <c r="H137" s="35"/>
    </row>
    <row r="138" ht="15.75" customHeight="1">
      <c r="H138" s="35"/>
    </row>
    <row r="139" ht="15.75" customHeight="1">
      <c r="H139" s="35"/>
    </row>
    <row r="140" ht="15.75" customHeight="1">
      <c r="H140" s="35"/>
    </row>
    <row r="141" ht="15.75" customHeight="1">
      <c r="H141" s="35"/>
    </row>
    <row r="142" ht="15.75" customHeight="1">
      <c r="H142" s="35"/>
    </row>
    <row r="143" ht="15.75" customHeight="1">
      <c r="H143" s="35"/>
    </row>
    <row r="144" ht="15.75" customHeight="1">
      <c r="H144" s="35"/>
    </row>
    <row r="145" ht="15.75" customHeight="1">
      <c r="H145" s="35"/>
    </row>
    <row r="146" ht="15.75" customHeight="1">
      <c r="H146" s="35"/>
    </row>
    <row r="147" ht="15.75" customHeight="1">
      <c r="H147" s="35"/>
    </row>
    <row r="148" ht="15.75" customHeight="1">
      <c r="H148" s="35"/>
    </row>
    <row r="149" ht="15.75" customHeight="1">
      <c r="H149" s="35"/>
    </row>
    <row r="150" ht="15.75" customHeight="1">
      <c r="H150" s="35"/>
    </row>
    <row r="151" ht="15.75" customHeight="1">
      <c r="H151" s="35"/>
    </row>
    <row r="152" ht="15.75" customHeight="1">
      <c r="H152" s="35"/>
    </row>
    <row r="153" ht="15.75" customHeight="1">
      <c r="H153" s="35"/>
    </row>
    <row r="154" ht="15.75" customHeight="1">
      <c r="H154" s="35"/>
    </row>
    <row r="155" ht="15.75" customHeight="1">
      <c r="H155" s="35"/>
    </row>
    <row r="156" ht="15.75" customHeight="1">
      <c r="H156" s="35"/>
    </row>
    <row r="157" ht="15.75" customHeight="1">
      <c r="H157" s="35"/>
    </row>
    <row r="158" ht="15.75" customHeight="1">
      <c r="H158" s="35"/>
    </row>
    <row r="159" ht="15.75" customHeight="1">
      <c r="H159" s="35"/>
    </row>
    <row r="160" ht="15.75" customHeight="1">
      <c r="H160" s="35"/>
    </row>
    <row r="161" ht="15.75" customHeight="1">
      <c r="H161" s="35"/>
    </row>
    <row r="162" ht="15.75" customHeight="1">
      <c r="H162" s="35"/>
    </row>
    <row r="163" ht="15.75" customHeight="1">
      <c r="H163" s="35"/>
    </row>
    <row r="164" ht="15.75" customHeight="1">
      <c r="H164" s="35"/>
    </row>
    <row r="165" ht="15.75" customHeight="1">
      <c r="H165" s="35"/>
    </row>
    <row r="166" ht="15.75" customHeight="1">
      <c r="H166" s="35"/>
    </row>
    <row r="167" ht="15.75" customHeight="1">
      <c r="H167" s="35"/>
    </row>
    <row r="168" ht="15.75" customHeight="1">
      <c r="H168" s="35"/>
    </row>
    <row r="169" ht="15.75" customHeight="1">
      <c r="H169" s="35"/>
    </row>
    <row r="170" ht="15.75" customHeight="1">
      <c r="H170" s="35"/>
    </row>
    <row r="171" ht="15.75" customHeight="1">
      <c r="H171" s="35"/>
    </row>
    <row r="172" ht="15.75" customHeight="1">
      <c r="H172" s="35"/>
    </row>
    <row r="173" ht="15.75" customHeight="1">
      <c r="H173" s="35"/>
    </row>
    <row r="174" ht="15.75" customHeight="1">
      <c r="H174" s="35"/>
    </row>
    <row r="175" ht="15.75" customHeight="1">
      <c r="H175" s="35"/>
    </row>
    <row r="176" ht="15.75" customHeight="1">
      <c r="H176" s="35"/>
    </row>
    <row r="177" ht="15.75" customHeight="1">
      <c r="H177" s="35"/>
    </row>
    <row r="178" ht="15.75" customHeight="1">
      <c r="H178" s="35"/>
    </row>
    <row r="179" ht="15.75" customHeight="1">
      <c r="H179" s="35"/>
    </row>
    <row r="180" ht="15.75" customHeight="1">
      <c r="H180" s="35"/>
    </row>
    <row r="181" ht="15.75" customHeight="1">
      <c r="H181" s="35"/>
    </row>
    <row r="182" ht="15.75" customHeight="1">
      <c r="H182" s="35"/>
    </row>
    <row r="183" ht="15.75" customHeight="1">
      <c r="H183" s="35"/>
    </row>
    <row r="184" ht="15.75" customHeight="1">
      <c r="H184" s="35"/>
    </row>
    <row r="185" ht="15.75" customHeight="1">
      <c r="H185" s="35"/>
    </row>
    <row r="186" ht="15.75" customHeight="1">
      <c r="H186" s="35"/>
    </row>
    <row r="187" ht="15.75" customHeight="1">
      <c r="H187" s="35"/>
    </row>
    <row r="188" ht="15.75" customHeight="1">
      <c r="H188" s="35"/>
    </row>
    <row r="189" ht="15.75" customHeight="1">
      <c r="H189" s="35"/>
    </row>
    <row r="190" ht="15.75" customHeight="1">
      <c r="H190" s="35"/>
    </row>
    <row r="191" ht="15.75" customHeight="1">
      <c r="H191" s="35"/>
    </row>
    <row r="192" ht="15.75" customHeight="1">
      <c r="H192" s="35"/>
    </row>
    <row r="193" ht="15.75" customHeight="1">
      <c r="H193" s="35"/>
    </row>
    <row r="194" ht="15.75" customHeight="1">
      <c r="H194" s="35"/>
    </row>
    <row r="195" ht="15.75" customHeight="1">
      <c r="H195" s="35"/>
    </row>
    <row r="196" ht="15.75" customHeight="1">
      <c r="H196" s="35"/>
    </row>
    <row r="197" ht="15.75" customHeight="1">
      <c r="H197" s="35"/>
    </row>
    <row r="198" ht="15.75" customHeight="1">
      <c r="H198" s="35"/>
    </row>
    <row r="199" ht="15.75" customHeight="1">
      <c r="H199" s="35"/>
    </row>
    <row r="200" ht="15.75" customHeight="1">
      <c r="H200" s="35"/>
    </row>
    <row r="201" ht="15.75" customHeight="1">
      <c r="H201" s="35"/>
    </row>
    <row r="202" ht="15.75" customHeight="1">
      <c r="H202" s="35"/>
    </row>
    <row r="203" ht="15.75" customHeight="1">
      <c r="H203" s="35"/>
    </row>
    <row r="204" ht="15.75" customHeight="1">
      <c r="H204" s="35"/>
    </row>
    <row r="205" ht="15.75" customHeight="1">
      <c r="H205" s="35"/>
    </row>
    <row r="206" ht="15.75" customHeight="1">
      <c r="H206" s="35"/>
    </row>
    <row r="207" ht="15.75" customHeight="1">
      <c r="H207" s="35"/>
    </row>
    <row r="208" ht="15.75" customHeight="1">
      <c r="H208" s="35"/>
    </row>
    <row r="209" ht="15.75" customHeight="1">
      <c r="H209" s="35"/>
    </row>
    <row r="210" ht="15.75" customHeight="1">
      <c r="H210" s="35"/>
    </row>
    <row r="211" ht="15.75" customHeight="1">
      <c r="H211" s="35"/>
    </row>
    <row r="212" ht="15.75" customHeight="1">
      <c r="H212" s="35"/>
    </row>
    <row r="213" ht="15.75" customHeight="1">
      <c r="H213" s="35"/>
    </row>
    <row r="214" ht="15.75" customHeight="1">
      <c r="H214" s="35"/>
    </row>
    <row r="215" ht="15.75" customHeight="1">
      <c r="H215" s="35"/>
    </row>
    <row r="216" ht="15.75" customHeight="1">
      <c r="H216" s="35"/>
    </row>
    <row r="217" ht="15.75" customHeight="1">
      <c r="H217" s="35"/>
    </row>
    <row r="218" ht="15.75" customHeight="1">
      <c r="H218" s="35"/>
    </row>
    <row r="219" ht="15.75" customHeight="1">
      <c r="H219" s="35"/>
    </row>
    <row r="220" ht="15.75" customHeight="1">
      <c r="H220" s="35"/>
    </row>
    <row r="221" ht="15.75" customHeight="1">
      <c r="H221" s="35"/>
    </row>
    <row r="222" ht="15.75" customHeight="1">
      <c r="H222" s="35"/>
    </row>
    <row r="223" ht="15.75" customHeight="1">
      <c r="H223" s="35"/>
    </row>
    <row r="224" ht="15.75" customHeight="1">
      <c r="H224" s="35"/>
    </row>
    <row r="225" ht="15.75" customHeight="1">
      <c r="H225" s="35"/>
    </row>
    <row r="226" ht="15.75" customHeight="1">
      <c r="H226" s="35"/>
    </row>
    <row r="227" ht="15.75" customHeight="1">
      <c r="H227" s="35"/>
    </row>
    <row r="228" ht="15.75" customHeight="1">
      <c r="H228" s="35"/>
    </row>
    <row r="229" ht="15.75" customHeight="1">
      <c r="H229" s="35"/>
    </row>
    <row r="230" ht="15.75" customHeight="1">
      <c r="H230" s="35"/>
    </row>
    <row r="231" ht="15.75" customHeight="1">
      <c r="H231" s="35"/>
    </row>
    <row r="232" ht="15.75" customHeight="1">
      <c r="H232" s="35"/>
    </row>
    <row r="233" ht="15.75" customHeight="1">
      <c r="H233" s="35"/>
    </row>
    <row r="234" ht="15.75" customHeight="1">
      <c r="H234" s="35"/>
    </row>
    <row r="235" ht="15.75" customHeight="1">
      <c r="H235" s="35"/>
    </row>
    <row r="236" ht="15.75" customHeight="1">
      <c r="H236" s="35"/>
    </row>
    <row r="237" ht="15.75" customHeight="1">
      <c r="H237" s="35"/>
    </row>
    <row r="238" ht="15.75" customHeight="1">
      <c r="H238" s="35"/>
    </row>
    <row r="239" ht="15.75" customHeight="1">
      <c r="H239" s="35"/>
    </row>
    <row r="240" ht="15.75" customHeight="1">
      <c r="H240" s="35"/>
    </row>
    <row r="241" ht="15.75" customHeight="1">
      <c r="H241" s="35"/>
    </row>
    <row r="242" ht="15.75" customHeight="1">
      <c r="H242" s="35"/>
    </row>
    <row r="243" ht="15.75" customHeight="1">
      <c r="H243" s="35"/>
    </row>
    <row r="244" ht="15.75" customHeight="1">
      <c r="H244" s="35"/>
    </row>
    <row r="245" ht="15.75" customHeight="1">
      <c r="H245" s="35"/>
    </row>
    <row r="246" ht="15.75" customHeight="1">
      <c r="H246" s="35"/>
    </row>
    <row r="247" ht="15.75" customHeight="1">
      <c r="H247" s="35"/>
    </row>
    <row r="248" ht="15.75" customHeight="1">
      <c r="H248" s="35"/>
    </row>
    <row r="249" ht="15.75" customHeight="1">
      <c r="H249" s="35"/>
    </row>
    <row r="250" ht="15.75" customHeight="1">
      <c r="H250" s="35"/>
    </row>
    <row r="251" ht="15.75" customHeight="1">
      <c r="H251" s="35"/>
    </row>
    <row r="252" ht="15.75" customHeight="1">
      <c r="H252" s="35"/>
    </row>
    <row r="253" ht="15.75" customHeight="1">
      <c r="H253" s="35"/>
    </row>
    <row r="254" ht="15.75" customHeight="1">
      <c r="H254" s="35"/>
    </row>
    <row r="255" ht="15.75" customHeight="1">
      <c r="H255" s="35"/>
    </row>
    <row r="256" ht="15.75" customHeight="1">
      <c r="H256" s="35"/>
    </row>
    <row r="257" ht="15.75" customHeight="1">
      <c r="H257" s="35"/>
    </row>
    <row r="258" ht="15.75" customHeight="1">
      <c r="H258" s="35"/>
    </row>
    <row r="259" ht="15.75" customHeight="1">
      <c r="H259" s="35"/>
    </row>
    <row r="260" ht="15.75" customHeight="1">
      <c r="H260" s="35"/>
    </row>
    <row r="261" ht="15.75" customHeight="1">
      <c r="H261" s="35"/>
    </row>
    <row r="262" ht="15.75" customHeight="1">
      <c r="H262" s="35"/>
    </row>
    <row r="263" ht="15.75" customHeight="1">
      <c r="H263" s="35"/>
    </row>
    <row r="264" ht="15.75" customHeight="1">
      <c r="H264" s="35"/>
    </row>
    <row r="265" ht="15.75" customHeight="1">
      <c r="H265" s="35"/>
    </row>
    <row r="266" ht="15.75" customHeight="1">
      <c r="H266" s="35"/>
    </row>
    <row r="267" ht="15.75" customHeight="1">
      <c r="H267" s="35"/>
    </row>
    <row r="268" ht="15.75" customHeight="1">
      <c r="H268" s="35"/>
    </row>
    <row r="269" ht="15.75" customHeight="1">
      <c r="H269" s="35"/>
    </row>
    <row r="270" ht="15.75" customHeight="1">
      <c r="H270" s="35"/>
    </row>
    <row r="271" ht="15.75" customHeight="1">
      <c r="H271" s="35"/>
    </row>
    <row r="272" ht="15.75" customHeight="1">
      <c r="H272" s="35"/>
    </row>
    <row r="273" ht="15.75" customHeight="1">
      <c r="H273" s="35"/>
    </row>
    <row r="274" ht="15.75" customHeight="1">
      <c r="H274" s="35"/>
    </row>
    <row r="275" ht="15.75" customHeight="1">
      <c r="H275" s="35"/>
    </row>
    <row r="276" ht="15.75" customHeight="1">
      <c r="H276" s="35"/>
    </row>
    <row r="277" ht="15.75" customHeight="1">
      <c r="H277" s="35"/>
    </row>
    <row r="278" ht="15.75" customHeight="1">
      <c r="H278" s="35"/>
    </row>
    <row r="279" ht="15.75" customHeight="1">
      <c r="H279" s="35"/>
    </row>
    <row r="280" ht="15.75" customHeight="1">
      <c r="H280" s="35"/>
    </row>
    <row r="281" ht="15.75" customHeight="1">
      <c r="H281" s="35"/>
    </row>
    <row r="282" ht="15.75" customHeight="1">
      <c r="H282" s="35"/>
    </row>
    <row r="283" ht="15.75" customHeight="1">
      <c r="H283" s="35"/>
    </row>
    <row r="284" ht="15.75" customHeight="1">
      <c r="H284" s="35"/>
    </row>
    <row r="285" ht="15.75" customHeight="1">
      <c r="H285" s="35"/>
    </row>
    <row r="286" ht="15.75" customHeight="1">
      <c r="H286" s="35"/>
    </row>
    <row r="287" ht="15.75" customHeight="1">
      <c r="H287" s="35"/>
    </row>
    <row r="288" ht="15.75" customHeight="1">
      <c r="H288" s="35"/>
    </row>
    <row r="289" ht="15.75" customHeight="1">
      <c r="H289" s="35"/>
    </row>
    <row r="290" ht="15.75" customHeight="1">
      <c r="H290" s="35"/>
    </row>
    <row r="291" ht="15.75" customHeight="1">
      <c r="H291" s="35"/>
    </row>
    <row r="292" ht="15.75" customHeight="1">
      <c r="H292" s="35"/>
    </row>
    <row r="293" ht="15.75" customHeight="1">
      <c r="H293" s="35"/>
    </row>
    <row r="294" ht="15.75" customHeight="1">
      <c r="H294" s="35"/>
    </row>
    <row r="295" ht="15.75" customHeight="1">
      <c r="H295" s="35"/>
    </row>
    <row r="296" ht="15.75" customHeight="1">
      <c r="H296" s="35"/>
    </row>
    <row r="297" ht="15.75" customHeight="1">
      <c r="H297" s="35"/>
    </row>
    <row r="298" ht="15.75" customHeight="1">
      <c r="H298" s="35"/>
    </row>
    <row r="299" ht="15.75" customHeight="1">
      <c r="H299" s="35"/>
    </row>
    <row r="300" ht="15.75" customHeight="1">
      <c r="H300" s="35"/>
    </row>
    <row r="301" ht="15.75" customHeight="1">
      <c r="H301" s="35"/>
    </row>
    <row r="302" ht="15.75" customHeight="1">
      <c r="H302" s="35"/>
    </row>
    <row r="303" ht="15.75" customHeight="1">
      <c r="H303" s="35"/>
    </row>
    <row r="304" ht="15.75" customHeight="1">
      <c r="H304" s="35"/>
    </row>
    <row r="305" ht="15.75" customHeight="1">
      <c r="H305" s="35"/>
    </row>
    <row r="306" ht="15.75" customHeight="1">
      <c r="H306" s="35"/>
    </row>
    <row r="307" ht="15.75" customHeight="1">
      <c r="H307" s="35"/>
    </row>
    <row r="308" ht="15.75" customHeight="1">
      <c r="H308" s="35"/>
    </row>
    <row r="309" ht="15.75" customHeight="1">
      <c r="H309" s="35"/>
    </row>
    <row r="310" ht="15.75" customHeight="1">
      <c r="H310" s="35"/>
    </row>
    <row r="311" ht="15.75" customHeight="1">
      <c r="H311" s="35"/>
    </row>
    <row r="312" ht="15.75" customHeight="1">
      <c r="H312" s="35"/>
    </row>
    <row r="313" ht="15.75" customHeight="1">
      <c r="H313" s="35"/>
    </row>
    <row r="314" ht="15.75" customHeight="1">
      <c r="H314" s="35"/>
    </row>
    <row r="315" ht="15.75" customHeight="1">
      <c r="H315" s="35"/>
    </row>
    <row r="316" ht="15.75" customHeight="1">
      <c r="H316" s="35"/>
    </row>
    <row r="317" ht="15.75" customHeight="1">
      <c r="H317" s="35"/>
    </row>
    <row r="318" ht="15.75" customHeight="1">
      <c r="H318" s="35"/>
    </row>
    <row r="319" ht="15.75" customHeight="1">
      <c r="H319" s="35"/>
    </row>
    <row r="320" ht="15.75" customHeight="1">
      <c r="H320" s="35"/>
    </row>
    <row r="321" ht="15.75" customHeight="1">
      <c r="H321" s="35"/>
    </row>
    <row r="322" ht="15.75" customHeight="1">
      <c r="H322" s="35"/>
    </row>
    <row r="323" ht="15.75" customHeight="1">
      <c r="H323" s="35"/>
    </row>
    <row r="324" ht="15.75" customHeight="1">
      <c r="H324" s="35"/>
    </row>
    <row r="325" ht="15.75" customHeight="1">
      <c r="H325" s="35"/>
    </row>
    <row r="326" ht="15.75" customHeight="1">
      <c r="H326" s="35"/>
    </row>
    <row r="327" ht="15.75" customHeight="1">
      <c r="H327" s="35"/>
    </row>
    <row r="328" ht="15.75" customHeight="1">
      <c r="H328" s="35"/>
    </row>
    <row r="329" ht="15.75" customHeight="1">
      <c r="H329" s="35"/>
    </row>
    <row r="330" ht="15.75" customHeight="1">
      <c r="H330" s="35"/>
    </row>
    <row r="331" ht="15.75" customHeight="1">
      <c r="H331" s="35"/>
    </row>
    <row r="332" ht="15.75" customHeight="1">
      <c r="H332" s="35"/>
    </row>
    <row r="333" ht="15.75" customHeight="1">
      <c r="H333" s="35"/>
    </row>
    <row r="334" ht="15.75" customHeight="1">
      <c r="H334" s="35"/>
    </row>
    <row r="335" ht="15.75" customHeight="1">
      <c r="H335" s="35"/>
    </row>
    <row r="336" ht="15.75" customHeight="1">
      <c r="H336" s="35"/>
    </row>
    <row r="337" ht="15.75" customHeight="1">
      <c r="H337" s="35"/>
    </row>
    <row r="338" ht="15.75" customHeight="1">
      <c r="H338" s="35"/>
    </row>
    <row r="339" ht="15.75" customHeight="1">
      <c r="H339" s="35"/>
    </row>
    <row r="340" ht="15.75" customHeight="1">
      <c r="H340" s="35"/>
    </row>
    <row r="341" ht="15.75" customHeight="1">
      <c r="H341" s="35"/>
    </row>
    <row r="342" ht="15.75" customHeight="1">
      <c r="H342" s="35"/>
    </row>
    <row r="343" ht="15.75" customHeight="1">
      <c r="H343" s="35"/>
    </row>
    <row r="344" ht="15.75" customHeight="1">
      <c r="H344" s="35"/>
    </row>
    <row r="345" ht="15.75" customHeight="1">
      <c r="H345" s="35"/>
    </row>
    <row r="346" ht="15.75" customHeight="1">
      <c r="H346" s="35"/>
    </row>
    <row r="347" ht="15.75" customHeight="1">
      <c r="H347" s="35"/>
    </row>
    <row r="348" ht="15.75" customHeight="1">
      <c r="H348" s="35"/>
    </row>
    <row r="349" ht="15.75" customHeight="1">
      <c r="H349" s="35"/>
    </row>
    <row r="350" ht="15.75" customHeight="1">
      <c r="H350" s="35"/>
    </row>
    <row r="351" ht="15.75" customHeight="1">
      <c r="H351" s="35"/>
    </row>
    <row r="352" ht="15.75" customHeight="1">
      <c r="H352" s="35"/>
    </row>
    <row r="353" ht="15.75" customHeight="1">
      <c r="H353" s="35"/>
    </row>
    <row r="354" ht="15.75" customHeight="1">
      <c r="H354" s="35"/>
    </row>
    <row r="355" ht="15.75" customHeight="1">
      <c r="H355" s="35"/>
    </row>
    <row r="356" ht="15.75" customHeight="1">
      <c r="H356" s="35"/>
    </row>
    <row r="357" ht="15.75" customHeight="1">
      <c r="H357" s="35"/>
    </row>
    <row r="358" ht="15.75" customHeight="1">
      <c r="H358" s="35"/>
    </row>
    <row r="359" ht="15.75" customHeight="1">
      <c r="H359" s="35"/>
    </row>
    <row r="360" ht="15.75" customHeight="1">
      <c r="H360" s="35"/>
    </row>
    <row r="361" ht="15.75" customHeight="1">
      <c r="H361" s="35"/>
    </row>
    <row r="362" ht="15.75" customHeight="1">
      <c r="H362" s="35"/>
    </row>
    <row r="363" ht="15.75" customHeight="1">
      <c r="H363" s="35"/>
    </row>
    <row r="364" ht="15.75" customHeight="1">
      <c r="H364" s="35"/>
    </row>
    <row r="365" ht="15.75" customHeight="1">
      <c r="H365" s="35"/>
    </row>
    <row r="366" ht="15.75" customHeight="1">
      <c r="H366" s="35"/>
    </row>
    <row r="367" ht="15.75" customHeight="1">
      <c r="H367" s="35"/>
    </row>
    <row r="368" ht="15.75" customHeight="1">
      <c r="H368" s="35"/>
    </row>
    <row r="369" ht="15.75" customHeight="1">
      <c r="H369" s="35"/>
    </row>
    <row r="370" ht="15.75" customHeight="1">
      <c r="H370" s="35"/>
    </row>
    <row r="371" ht="15.75" customHeight="1">
      <c r="H371" s="35"/>
    </row>
    <row r="372" ht="15.75" customHeight="1">
      <c r="H372" s="35"/>
    </row>
    <row r="373" ht="15.75" customHeight="1">
      <c r="H373" s="35"/>
    </row>
    <row r="374" ht="15.75" customHeight="1">
      <c r="H374" s="35"/>
    </row>
    <row r="375" ht="15.75" customHeight="1">
      <c r="H375" s="35"/>
    </row>
    <row r="376" ht="15.75" customHeight="1">
      <c r="H376" s="35"/>
    </row>
    <row r="377" ht="15.75" customHeight="1">
      <c r="H377" s="35"/>
    </row>
    <row r="378" ht="15.75" customHeight="1">
      <c r="H378" s="35"/>
    </row>
    <row r="379" ht="15.75" customHeight="1">
      <c r="H379" s="35"/>
    </row>
    <row r="380" ht="15.75" customHeight="1">
      <c r="H380" s="35"/>
    </row>
    <row r="381" ht="15.75" customHeight="1">
      <c r="H381" s="35"/>
    </row>
    <row r="382" ht="15.75" customHeight="1">
      <c r="H382" s="35"/>
    </row>
    <row r="383" ht="15.75" customHeight="1">
      <c r="H383" s="35"/>
    </row>
    <row r="384" ht="15.75" customHeight="1">
      <c r="H384" s="35"/>
    </row>
    <row r="385" ht="15.75" customHeight="1">
      <c r="H385" s="35"/>
    </row>
    <row r="386" ht="15.75" customHeight="1">
      <c r="H386" s="35"/>
    </row>
    <row r="387" ht="15.75" customHeight="1">
      <c r="H387" s="35"/>
    </row>
    <row r="388" ht="15.75" customHeight="1">
      <c r="H388" s="35"/>
    </row>
    <row r="389" ht="15.75" customHeight="1">
      <c r="H389" s="35"/>
    </row>
    <row r="390" ht="15.75" customHeight="1">
      <c r="H390" s="35"/>
    </row>
    <row r="391" ht="15.75" customHeight="1">
      <c r="H391" s="35"/>
    </row>
    <row r="392" ht="15.75" customHeight="1">
      <c r="H392" s="35"/>
    </row>
    <row r="393" ht="15.75" customHeight="1">
      <c r="H393" s="35"/>
    </row>
    <row r="394" ht="15.75" customHeight="1">
      <c r="H394" s="35"/>
    </row>
    <row r="395" ht="15.75" customHeight="1">
      <c r="H395" s="35"/>
    </row>
    <row r="396" ht="15.75" customHeight="1">
      <c r="H396" s="35"/>
    </row>
    <row r="397" ht="15.75" customHeight="1">
      <c r="H397" s="35"/>
    </row>
    <row r="398" ht="15.75" customHeight="1">
      <c r="H398" s="35"/>
    </row>
    <row r="399" ht="15.75" customHeight="1">
      <c r="H399" s="35"/>
    </row>
    <row r="400" ht="15.75" customHeight="1">
      <c r="H400" s="35"/>
    </row>
    <row r="401" ht="15.75" customHeight="1">
      <c r="H401" s="35"/>
    </row>
    <row r="402" ht="15.75" customHeight="1">
      <c r="H402" s="35"/>
    </row>
    <row r="403" ht="15.75" customHeight="1">
      <c r="H403" s="35"/>
    </row>
    <row r="404" ht="15.75" customHeight="1">
      <c r="H404" s="35"/>
    </row>
    <row r="405" ht="15.75" customHeight="1">
      <c r="H405" s="35"/>
    </row>
    <row r="406" ht="15.75" customHeight="1">
      <c r="H406" s="35"/>
    </row>
    <row r="407" ht="15.75" customHeight="1">
      <c r="H407" s="35"/>
    </row>
    <row r="408" ht="15.75" customHeight="1">
      <c r="H408" s="35"/>
    </row>
    <row r="409" ht="15.75" customHeight="1">
      <c r="H409" s="35"/>
    </row>
    <row r="410" ht="15.75" customHeight="1">
      <c r="H410" s="35"/>
    </row>
    <row r="411" ht="15.75" customHeight="1">
      <c r="H411" s="35"/>
    </row>
    <row r="412" ht="15.75" customHeight="1">
      <c r="H412" s="35"/>
    </row>
    <row r="413" ht="15.75" customHeight="1">
      <c r="H413" s="35"/>
    </row>
    <row r="414" ht="15.75" customHeight="1">
      <c r="H414" s="35"/>
    </row>
    <row r="415" ht="15.75" customHeight="1">
      <c r="H415" s="35"/>
    </row>
    <row r="416" ht="15.75" customHeight="1">
      <c r="H416" s="35"/>
    </row>
    <row r="417" ht="15.75" customHeight="1">
      <c r="H417" s="35"/>
    </row>
    <row r="418" ht="15.75" customHeight="1">
      <c r="H418" s="35"/>
    </row>
    <row r="419" ht="15.75" customHeight="1">
      <c r="H419" s="35"/>
    </row>
    <row r="420" ht="15.75" customHeight="1">
      <c r="H420" s="35"/>
    </row>
    <row r="421" ht="15.75" customHeight="1">
      <c r="H421" s="35"/>
    </row>
    <row r="422" ht="15.75" customHeight="1">
      <c r="H422" s="35"/>
    </row>
    <row r="423" ht="15.75" customHeight="1">
      <c r="H423" s="35"/>
    </row>
    <row r="424" ht="15.75" customHeight="1">
      <c r="H424" s="35"/>
    </row>
    <row r="425" ht="15.75" customHeight="1">
      <c r="H425" s="35"/>
    </row>
    <row r="426" ht="15.75" customHeight="1">
      <c r="H426" s="35"/>
    </row>
    <row r="427" ht="15.75" customHeight="1">
      <c r="H427" s="35"/>
    </row>
    <row r="428" ht="15.75" customHeight="1">
      <c r="H428" s="35"/>
    </row>
    <row r="429" ht="15.75" customHeight="1">
      <c r="H429" s="35"/>
    </row>
    <row r="430" ht="15.75" customHeight="1">
      <c r="H430" s="35"/>
    </row>
    <row r="431" ht="15.75" customHeight="1">
      <c r="H431" s="35"/>
    </row>
    <row r="432" ht="15.75" customHeight="1">
      <c r="H432" s="35"/>
    </row>
    <row r="433" ht="15.75" customHeight="1">
      <c r="H433" s="35"/>
    </row>
    <row r="434" ht="15.75" customHeight="1">
      <c r="H434" s="35"/>
    </row>
    <row r="435" ht="15.75" customHeight="1">
      <c r="H435" s="35"/>
    </row>
    <row r="436" ht="15.75" customHeight="1">
      <c r="H436" s="35"/>
    </row>
    <row r="437" ht="15.75" customHeight="1">
      <c r="H437" s="35"/>
    </row>
    <row r="438" ht="15.75" customHeight="1">
      <c r="H438" s="35"/>
    </row>
    <row r="439" ht="15.75" customHeight="1">
      <c r="H439" s="35"/>
    </row>
    <row r="440" ht="15.75" customHeight="1">
      <c r="H440" s="35"/>
    </row>
    <row r="441" ht="15.75" customHeight="1">
      <c r="H441" s="35"/>
    </row>
    <row r="442" ht="15.75" customHeight="1">
      <c r="H442" s="35"/>
    </row>
    <row r="443" ht="15.75" customHeight="1">
      <c r="H443" s="35"/>
    </row>
    <row r="444" ht="15.75" customHeight="1">
      <c r="H444" s="35"/>
    </row>
    <row r="445" ht="15.75" customHeight="1">
      <c r="H445" s="35"/>
    </row>
    <row r="446" ht="15.75" customHeight="1">
      <c r="H446" s="35"/>
    </row>
    <row r="447" ht="15.75" customHeight="1">
      <c r="H447" s="35"/>
    </row>
    <row r="448" ht="15.75" customHeight="1">
      <c r="H448" s="35"/>
    </row>
    <row r="449" ht="15.75" customHeight="1">
      <c r="H449" s="35"/>
    </row>
    <row r="450" ht="15.75" customHeight="1">
      <c r="H450" s="35"/>
    </row>
    <row r="451" ht="15.75" customHeight="1">
      <c r="H451" s="35"/>
    </row>
    <row r="452" ht="15.75" customHeight="1">
      <c r="H452" s="35"/>
    </row>
    <row r="453" ht="15.75" customHeight="1">
      <c r="H453" s="35"/>
    </row>
    <row r="454" ht="15.75" customHeight="1">
      <c r="H454" s="35"/>
    </row>
    <row r="455" ht="15.75" customHeight="1">
      <c r="H455" s="35"/>
    </row>
    <row r="456" ht="15.75" customHeight="1">
      <c r="H456" s="35"/>
    </row>
    <row r="457" ht="15.75" customHeight="1">
      <c r="H457" s="35"/>
    </row>
    <row r="458" ht="15.75" customHeight="1">
      <c r="H458" s="35"/>
    </row>
    <row r="459" ht="15.75" customHeight="1">
      <c r="H459" s="35"/>
    </row>
    <row r="460" ht="15.75" customHeight="1">
      <c r="H460" s="35"/>
    </row>
    <row r="461" ht="15.75" customHeight="1">
      <c r="H461" s="35"/>
    </row>
    <row r="462" ht="15.75" customHeight="1">
      <c r="H462" s="35"/>
    </row>
    <row r="463" ht="15.75" customHeight="1">
      <c r="H463" s="35"/>
    </row>
    <row r="464" ht="15.75" customHeight="1">
      <c r="H464" s="35"/>
    </row>
    <row r="465" ht="15.75" customHeight="1">
      <c r="H465" s="35"/>
    </row>
    <row r="466" ht="15.75" customHeight="1">
      <c r="H466" s="35"/>
    </row>
    <row r="467" ht="15.75" customHeight="1">
      <c r="H467" s="35"/>
    </row>
    <row r="468" ht="15.75" customHeight="1">
      <c r="H468" s="35"/>
    </row>
    <row r="469" ht="15.75" customHeight="1">
      <c r="H469" s="35"/>
    </row>
    <row r="470" ht="15.75" customHeight="1">
      <c r="H470" s="35"/>
    </row>
    <row r="471" ht="15.75" customHeight="1">
      <c r="H471" s="35"/>
    </row>
    <row r="472" ht="15.75" customHeight="1">
      <c r="H472" s="35"/>
    </row>
    <row r="473" ht="15.75" customHeight="1">
      <c r="H473" s="35"/>
    </row>
    <row r="474" ht="15.75" customHeight="1">
      <c r="H474" s="35"/>
    </row>
    <row r="475" ht="15.75" customHeight="1">
      <c r="H475" s="35"/>
    </row>
    <row r="476" ht="15.75" customHeight="1">
      <c r="H476" s="35"/>
    </row>
    <row r="477" ht="15.75" customHeight="1">
      <c r="H477" s="35"/>
    </row>
    <row r="478" ht="15.75" customHeight="1">
      <c r="H478" s="35"/>
    </row>
    <row r="479" ht="15.75" customHeight="1">
      <c r="H479" s="35"/>
    </row>
    <row r="480" ht="15.75" customHeight="1">
      <c r="H480" s="35"/>
    </row>
    <row r="481" ht="15.75" customHeight="1">
      <c r="H481" s="35"/>
    </row>
    <row r="482" ht="15.75" customHeight="1">
      <c r="H482" s="35"/>
    </row>
    <row r="483" ht="15.75" customHeight="1">
      <c r="H483" s="35"/>
    </row>
    <row r="484" ht="15.75" customHeight="1">
      <c r="H484" s="35"/>
    </row>
    <row r="485" ht="15.75" customHeight="1">
      <c r="H485" s="35"/>
    </row>
    <row r="486" ht="15.75" customHeight="1">
      <c r="H486" s="35"/>
    </row>
    <row r="487" ht="15.75" customHeight="1">
      <c r="H487" s="35"/>
    </row>
    <row r="488" ht="15.75" customHeight="1">
      <c r="H488" s="35"/>
    </row>
    <row r="489" ht="15.75" customHeight="1">
      <c r="H489" s="35"/>
    </row>
    <row r="490" ht="15.75" customHeight="1">
      <c r="H490" s="35"/>
    </row>
    <row r="491" ht="15.75" customHeight="1">
      <c r="H491" s="35"/>
    </row>
    <row r="492" ht="15.75" customHeight="1">
      <c r="H492" s="35"/>
    </row>
    <row r="493" ht="15.75" customHeight="1">
      <c r="H493" s="35"/>
    </row>
    <row r="494" ht="15.75" customHeight="1">
      <c r="H494" s="35"/>
    </row>
    <row r="495" ht="15.75" customHeight="1">
      <c r="H495" s="35"/>
    </row>
    <row r="496" ht="15.75" customHeight="1">
      <c r="H496" s="35"/>
    </row>
    <row r="497" ht="15.75" customHeight="1">
      <c r="H497" s="35"/>
    </row>
    <row r="498" ht="15.75" customHeight="1">
      <c r="H498" s="35"/>
    </row>
    <row r="499" ht="15.75" customHeight="1">
      <c r="H499" s="35"/>
    </row>
    <row r="500" ht="15.75" customHeight="1">
      <c r="H500" s="35"/>
    </row>
    <row r="501" ht="15.75" customHeight="1">
      <c r="H501" s="35"/>
    </row>
    <row r="502" ht="15.75" customHeight="1">
      <c r="H502" s="35"/>
    </row>
    <row r="503" ht="15.75" customHeight="1">
      <c r="H503" s="35"/>
    </row>
    <row r="504" ht="15.75" customHeight="1">
      <c r="H504" s="35"/>
    </row>
    <row r="505" ht="15.75" customHeight="1">
      <c r="H505" s="35"/>
    </row>
    <row r="506" ht="15.75" customHeight="1">
      <c r="H506" s="35"/>
    </row>
    <row r="507" ht="15.75" customHeight="1">
      <c r="H507" s="35"/>
    </row>
    <row r="508" ht="15.75" customHeight="1">
      <c r="H508" s="35"/>
    </row>
    <row r="509" ht="15.75" customHeight="1">
      <c r="H509" s="35"/>
    </row>
    <row r="510" ht="15.75" customHeight="1">
      <c r="H510" s="35"/>
    </row>
    <row r="511" ht="15.75" customHeight="1">
      <c r="H511" s="35"/>
    </row>
    <row r="512" ht="15.75" customHeight="1">
      <c r="H512" s="35"/>
    </row>
    <row r="513" ht="15.75" customHeight="1">
      <c r="H513" s="35"/>
    </row>
    <row r="514" ht="15.75" customHeight="1">
      <c r="H514" s="35"/>
    </row>
    <row r="515" ht="15.75" customHeight="1">
      <c r="H515" s="35"/>
    </row>
    <row r="516" ht="15.75" customHeight="1">
      <c r="H516" s="35"/>
    </row>
    <row r="517" ht="15.75" customHeight="1">
      <c r="H517" s="35"/>
    </row>
    <row r="518" ht="15.75" customHeight="1">
      <c r="H518" s="35"/>
    </row>
    <row r="519" ht="15.75" customHeight="1">
      <c r="H519" s="35"/>
    </row>
    <row r="520" ht="15.75" customHeight="1">
      <c r="H520" s="35"/>
    </row>
    <row r="521" ht="15.75" customHeight="1">
      <c r="H521" s="35"/>
    </row>
    <row r="522" ht="15.75" customHeight="1">
      <c r="H522" s="35"/>
    </row>
    <row r="523" ht="15.75" customHeight="1">
      <c r="H523" s="35"/>
    </row>
    <row r="524" ht="15.75" customHeight="1">
      <c r="H524" s="35"/>
    </row>
    <row r="525" ht="15.75" customHeight="1">
      <c r="H525" s="35"/>
    </row>
    <row r="526" ht="15.75" customHeight="1">
      <c r="H526" s="35"/>
    </row>
    <row r="527" ht="15.75" customHeight="1">
      <c r="H527" s="35"/>
    </row>
    <row r="528" ht="15.75" customHeight="1">
      <c r="H528" s="35"/>
    </row>
    <row r="529" ht="15.75" customHeight="1">
      <c r="H529" s="35"/>
    </row>
    <row r="530" ht="15.75" customHeight="1">
      <c r="H530" s="35"/>
    </row>
    <row r="531" ht="15.75" customHeight="1">
      <c r="H531" s="35"/>
    </row>
    <row r="532" ht="15.75" customHeight="1">
      <c r="H532" s="35"/>
    </row>
    <row r="533" ht="15.75" customHeight="1">
      <c r="H533" s="35"/>
    </row>
    <row r="534" ht="15.75" customHeight="1">
      <c r="H534" s="35"/>
    </row>
    <row r="535" ht="15.75" customHeight="1">
      <c r="H535" s="35"/>
    </row>
    <row r="536" ht="15.75" customHeight="1">
      <c r="H536" s="35"/>
    </row>
    <row r="537" ht="15.75" customHeight="1">
      <c r="H537" s="35"/>
    </row>
    <row r="538" ht="15.75" customHeight="1">
      <c r="H538" s="35"/>
    </row>
    <row r="539" ht="15.75" customHeight="1">
      <c r="H539" s="35"/>
    </row>
    <row r="540" ht="15.75" customHeight="1">
      <c r="H540" s="35"/>
    </row>
    <row r="541" ht="15.75" customHeight="1">
      <c r="H541" s="35"/>
    </row>
    <row r="542" ht="15.75" customHeight="1">
      <c r="H542" s="35"/>
    </row>
    <row r="543" ht="15.75" customHeight="1">
      <c r="H543" s="35"/>
    </row>
    <row r="544" ht="15.75" customHeight="1">
      <c r="H544" s="35"/>
    </row>
    <row r="545" ht="15.75" customHeight="1">
      <c r="H545" s="35"/>
    </row>
    <row r="546" ht="15.75" customHeight="1">
      <c r="H546" s="35"/>
    </row>
    <row r="547" ht="15.75" customHeight="1">
      <c r="H547" s="35"/>
    </row>
    <row r="548" ht="15.75" customHeight="1">
      <c r="H548" s="35"/>
    </row>
    <row r="549" ht="15.75" customHeight="1">
      <c r="H549" s="35"/>
    </row>
    <row r="550" ht="15.75" customHeight="1">
      <c r="H550" s="35"/>
    </row>
    <row r="551" ht="15.75" customHeight="1">
      <c r="H551" s="35"/>
    </row>
    <row r="552" ht="15.75" customHeight="1">
      <c r="H552" s="35"/>
    </row>
    <row r="553" ht="15.75" customHeight="1">
      <c r="H553" s="35"/>
    </row>
    <row r="554" ht="15.75" customHeight="1">
      <c r="H554" s="35"/>
    </row>
    <row r="555" ht="15.75" customHeight="1">
      <c r="H555" s="35"/>
    </row>
    <row r="556" ht="15.75" customHeight="1">
      <c r="H556" s="35"/>
    </row>
    <row r="557" ht="15.75" customHeight="1">
      <c r="H557" s="35"/>
    </row>
    <row r="558" ht="15.75" customHeight="1">
      <c r="H558" s="35"/>
    </row>
    <row r="559" ht="15.75" customHeight="1">
      <c r="H559" s="35"/>
    </row>
    <row r="560" ht="15.75" customHeight="1">
      <c r="H560" s="35"/>
    </row>
    <row r="561" ht="15.75" customHeight="1">
      <c r="H561" s="35"/>
    </row>
    <row r="562" ht="15.75" customHeight="1">
      <c r="H562" s="35"/>
    </row>
    <row r="563" ht="15.75" customHeight="1">
      <c r="H563" s="35"/>
    </row>
    <row r="564" ht="15.75" customHeight="1">
      <c r="H564" s="35"/>
    </row>
    <row r="565" ht="15.75" customHeight="1">
      <c r="H565" s="35"/>
    </row>
    <row r="566" ht="15.75" customHeight="1">
      <c r="H566" s="35"/>
    </row>
    <row r="567" ht="15.75" customHeight="1">
      <c r="H567" s="35"/>
    </row>
    <row r="568" ht="15.75" customHeight="1">
      <c r="H568" s="35"/>
    </row>
    <row r="569" ht="15.75" customHeight="1">
      <c r="H569" s="35"/>
    </row>
    <row r="570" ht="15.75" customHeight="1">
      <c r="H570" s="35"/>
    </row>
    <row r="571" ht="15.75" customHeight="1">
      <c r="H571" s="35"/>
    </row>
    <row r="572" ht="15.75" customHeight="1">
      <c r="H572" s="35"/>
    </row>
    <row r="573" ht="15.75" customHeight="1">
      <c r="H573" s="35"/>
    </row>
    <row r="574" ht="15.75" customHeight="1">
      <c r="H574" s="35"/>
    </row>
    <row r="575" ht="15.75" customHeight="1">
      <c r="H575" s="35"/>
    </row>
    <row r="576" ht="15.75" customHeight="1">
      <c r="H576" s="35"/>
    </row>
    <row r="577" ht="15.75" customHeight="1">
      <c r="H577" s="35"/>
    </row>
    <row r="578" ht="15.75" customHeight="1">
      <c r="H578" s="35"/>
    </row>
    <row r="579" ht="15.75" customHeight="1">
      <c r="H579" s="35"/>
    </row>
    <row r="580" ht="15.75" customHeight="1">
      <c r="H580" s="35"/>
    </row>
    <row r="581" ht="15.75" customHeight="1">
      <c r="H581" s="35"/>
    </row>
    <row r="582" ht="15.75" customHeight="1">
      <c r="H582" s="35"/>
    </row>
    <row r="583" ht="15.75" customHeight="1">
      <c r="H583" s="35"/>
    </row>
    <row r="584" ht="15.75" customHeight="1">
      <c r="H584" s="35"/>
    </row>
    <row r="585" ht="15.75" customHeight="1">
      <c r="H585" s="35"/>
    </row>
    <row r="586" ht="15.75" customHeight="1">
      <c r="H586" s="35"/>
    </row>
    <row r="587" ht="15.75" customHeight="1">
      <c r="H587" s="35"/>
    </row>
    <row r="588" ht="15.75" customHeight="1">
      <c r="H588" s="35"/>
    </row>
    <row r="589" ht="15.75" customHeight="1">
      <c r="H589" s="35"/>
    </row>
    <row r="590" ht="15.75" customHeight="1">
      <c r="H590" s="35"/>
    </row>
    <row r="591" ht="15.75" customHeight="1">
      <c r="H591" s="35"/>
    </row>
    <row r="592" ht="15.75" customHeight="1">
      <c r="H592" s="35"/>
    </row>
    <row r="593" ht="15.75" customHeight="1">
      <c r="H593" s="35"/>
    </row>
    <row r="594" ht="15.75" customHeight="1">
      <c r="H594" s="35"/>
    </row>
    <row r="595" ht="15.75" customHeight="1">
      <c r="H595" s="35"/>
    </row>
    <row r="596" ht="15.75" customHeight="1">
      <c r="H596" s="35"/>
    </row>
    <row r="597" ht="15.75" customHeight="1">
      <c r="H597" s="35"/>
    </row>
    <row r="598" ht="15.75" customHeight="1">
      <c r="H598" s="35"/>
    </row>
    <row r="599" ht="15.75" customHeight="1">
      <c r="H599" s="35"/>
    </row>
    <row r="600" ht="15.75" customHeight="1">
      <c r="H600" s="35"/>
    </row>
    <row r="601" ht="15.75" customHeight="1">
      <c r="H601" s="35"/>
    </row>
    <row r="602" ht="15.75" customHeight="1">
      <c r="H602" s="35"/>
    </row>
    <row r="603" ht="15.75" customHeight="1">
      <c r="H603" s="35"/>
    </row>
    <row r="604" ht="15.75" customHeight="1">
      <c r="H604" s="35"/>
    </row>
    <row r="605" ht="15.75" customHeight="1">
      <c r="H605" s="35"/>
    </row>
    <row r="606" ht="15.75" customHeight="1">
      <c r="H606" s="35"/>
    </row>
    <row r="607" ht="15.75" customHeight="1">
      <c r="H607" s="35"/>
    </row>
    <row r="608" ht="15.75" customHeight="1">
      <c r="H608" s="35"/>
    </row>
    <row r="609" ht="15.75" customHeight="1">
      <c r="H609" s="35"/>
    </row>
    <row r="610" ht="15.75" customHeight="1">
      <c r="H610" s="35"/>
    </row>
    <row r="611" ht="15.75" customHeight="1">
      <c r="H611" s="35"/>
    </row>
    <row r="612" ht="15.75" customHeight="1">
      <c r="H612" s="35"/>
    </row>
    <row r="613" ht="15.75" customHeight="1">
      <c r="H613" s="35"/>
    </row>
    <row r="614" ht="15.75" customHeight="1">
      <c r="H614" s="35"/>
    </row>
    <row r="615" ht="15.75" customHeight="1">
      <c r="H615" s="35"/>
    </row>
    <row r="616" ht="15.75" customHeight="1">
      <c r="H616" s="35"/>
    </row>
    <row r="617" ht="15.75" customHeight="1">
      <c r="H617" s="35"/>
    </row>
    <row r="618" ht="15.75" customHeight="1">
      <c r="H618" s="35"/>
    </row>
    <row r="619" ht="15.75" customHeight="1">
      <c r="H619" s="35"/>
    </row>
    <row r="620" ht="15.75" customHeight="1">
      <c r="H620" s="35"/>
    </row>
    <row r="621" ht="15.75" customHeight="1">
      <c r="H621" s="35"/>
    </row>
    <row r="622" ht="15.75" customHeight="1">
      <c r="H622" s="35"/>
    </row>
    <row r="623" ht="15.75" customHeight="1">
      <c r="H623" s="35"/>
    </row>
    <row r="624" ht="15.75" customHeight="1">
      <c r="H624" s="35"/>
    </row>
    <row r="625" ht="15.75" customHeight="1">
      <c r="H625" s="35"/>
    </row>
    <row r="626" ht="15.75" customHeight="1">
      <c r="H626" s="35"/>
    </row>
    <row r="627" ht="15.75" customHeight="1">
      <c r="H627" s="35"/>
    </row>
    <row r="628" ht="15.75" customHeight="1">
      <c r="H628" s="35"/>
    </row>
    <row r="629" ht="15.75" customHeight="1">
      <c r="H629" s="35"/>
    </row>
    <row r="630" ht="15.75" customHeight="1">
      <c r="H630" s="35"/>
    </row>
    <row r="631" ht="15.75" customHeight="1">
      <c r="H631" s="35"/>
    </row>
    <row r="632" ht="15.75" customHeight="1">
      <c r="H632" s="35"/>
    </row>
    <row r="633" ht="15.75" customHeight="1">
      <c r="H633" s="35"/>
    </row>
    <row r="634" ht="15.75" customHeight="1">
      <c r="H634" s="35"/>
    </row>
    <row r="635" ht="15.75" customHeight="1">
      <c r="H635" s="35"/>
    </row>
    <row r="636" ht="15.75" customHeight="1">
      <c r="H636" s="35"/>
    </row>
    <row r="637" ht="15.75" customHeight="1">
      <c r="H637" s="35"/>
    </row>
    <row r="638" ht="15.75" customHeight="1">
      <c r="H638" s="35"/>
    </row>
    <row r="639" ht="15.75" customHeight="1">
      <c r="H639" s="35"/>
    </row>
    <row r="640" ht="15.75" customHeight="1">
      <c r="H640" s="35"/>
    </row>
    <row r="641" ht="15.75" customHeight="1">
      <c r="H641" s="35"/>
    </row>
    <row r="642" ht="15.75" customHeight="1">
      <c r="H642" s="35"/>
    </row>
    <row r="643" ht="15.75" customHeight="1">
      <c r="H643" s="35"/>
    </row>
    <row r="644" ht="15.75" customHeight="1">
      <c r="H644" s="35"/>
    </row>
    <row r="645" ht="15.75" customHeight="1">
      <c r="H645" s="35"/>
    </row>
    <row r="646" ht="15.75" customHeight="1">
      <c r="H646" s="35"/>
    </row>
    <row r="647" ht="15.75" customHeight="1">
      <c r="H647" s="35"/>
    </row>
    <row r="648" ht="15.75" customHeight="1">
      <c r="H648" s="35"/>
    </row>
    <row r="649" ht="15.75" customHeight="1">
      <c r="H649" s="35"/>
    </row>
    <row r="650" ht="15.75" customHeight="1">
      <c r="H650" s="35"/>
    </row>
    <row r="651" ht="15.75" customHeight="1">
      <c r="H651" s="35"/>
    </row>
    <row r="652" ht="15.75" customHeight="1">
      <c r="H652" s="35"/>
    </row>
    <row r="653" ht="15.75" customHeight="1">
      <c r="H653" s="35"/>
    </row>
    <row r="654" ht="15.75" customHeight="1">
      <c r="H654" s="35"/>
    </row>
    <row r="655" ht="15.75" customHeight="1">
      <c r="H655" s="35"/>
    </row>
    <row r="656" ht="15.75" customHeight="1">
      <c r="H656" s="35"/>
    </row>
    <row r="657" ht="15.75" customHeight="1">
      <c r="H657" s="35"/>
    </row>
    <row r="658" ht="15.75" customHeight="1">
      <c r="H658" s="35"/>
    </row>
    <row r="659" ht="15.75" customHeight="1">
      <c r="H659" s="35"/>
    </row>
    <row r="660" ht="15.75" customHeight="1">
      <c r="H660" s="35"/>
    </row>
    <row r="661" ht="15.75" customHeight="1">
      <c r="H661" s="35"/>
    </row>
    <row r="662" ht="15.75" customHeight="1">
      <c r="H662" s="35"/>
    </row>
    <row r="663" ht="15.75" customHeight="1">
      <c r="H663" s="35"/>
    </row>
    <row r="664" ht="15.75" customHeight="1">
      <c r="H664" s="35"/>
    </row>
    <row r="665" ht="15.75" customHeight="1">
      <c r="H665" s="35"/>
    </row>
    <row r="666" ht="15.75" customHeight="1">
      <c r="H666" s="35"/>
    </row>
    <row r="667" ht="15.75" customHeight="1">
      <c r="H667" s="35"/>
    </row>
    <row r="668" ht="15.75" customHeight="1">
      <c r="H668" s="35"/>
    </row>
    <row r="669" ht="15.75" customHeight="1">
      <c r="H669" s="35"/>
    </row>
    <row r="670" ht="15.75" customHeight="1">
      <c r="H670" s="35"/>
    </row>
    <row r="671" ht="15.75" customHeight="1">
      <c r="H671" s="35"/>
    </row>
    <row r="672" ht="15.75" customHeight="1">
      <c r="H672" s="35"/>
    </row>
    <row r="673" ht="15.75" customHeight="1">
      <c r="H673" s="35"/>
    </row>
    <row r="674" ht="15.75" customHeight="1">
      <c r="H674" s="35"/>
    </row>
    <row r="675" ht="15.75" customHeight="1">
      <c r="H675" s="35"/>
    </row>
    <row r="676" ht="15.75" customHeight="1">
      <c r="H676" s="35"/>
    </row>
    <row r="677" ht="15.75" customHeight="1">
      <c r="H677" s="35"/>
    </row>
    <row r="678" ht="15.75" customHeight="1">
      <c r="H678" s="35"/>
    </row>
    <row r="679" ht="15.75" customHeight="1">
      <c r="H679" s="35"/>
    </row>
    <row r="680" ht="15.75" customHeight="1">
      <c r="H680" s="35"/>
    </row>
    <row r="681" ht="15.75" customHeight="1">
      <c r="H681" s="35"/>
    </row>
    <row r="682" ht="15.75" customHeight="1">
      <c r="H682" s="35"/>
    </row>
    <row r="683" ht="15.75" customHeight="1">
      <c r="H683" s="35"/>
    </row>
    <row r="684" ht="15.75" customHeight="1">
      <c r="H684" s="35"/>
    </row>
    <row r="685" ht="15.75" customHeight="1">
      <c r="H685" s="35"/>
    </row>
    <row r="686" ht="15.75" customHeight="1">
      <c r="H686" s="35"/>
    </row>
    <row r="687" ht="15.75" customHeight="1">
      <c r="H687" s="35"/>
    </row>
    <row r="688" ht="15.75" customHeight="1">
      <c r="H688" s="35"/>
    </row>
    <row r="689" ht="15.75" customHeight="1">
      <c r="H689" s="35"/>
    </row>
    <row r="690" ht="15.75" customHeight="1">
      <c r="H690" s="35"/>
    </row>
    <row r="691" ht="15.75" customHeight="1">
      <c r="H691" s="35"/>
    </row>
    <row r="692" ht="15.75" customHeight="1">
      <c r="H692" s="35"/>
    </row>
    <row r="693" ht="15.75" customHeight="1">
      <c r="H693" s="35"/>
    </row>
    <row r="694" ht="15.75" customHeight="1">
      <c r="H694" s="35"/>
    </row>
    <row r="695" ht="15.75" customHeight="1">
      <c r="H695" s="35"/>
    </row>
    <row r="696" ht="15.75" customHeight="1">
      <c r="H696" s="35"/>
    </row>
    <row r="697" ht="15.75" customHeight="1">
      <c r="H697" s="35"/>
    </row>
    <row r="698" ht="15.75" customHeight="1">
      <c r="H698" s="35"/>
    </row>
    <row r="699" ht="15.75" customHeight="1">
      <c r="H699" s="35"/>
    </row>
    <row r="700" ht="15.75" customHeight="1">
      <c r="H700" s="35"/>
    </row>
    <row r="701" ht="15.75" customHeight="1">
      <c r="H701" s="35"/>
    </row>
    <row r="702" ht="15.75" customHeight="1">
      <c r="H702" s="35"/>
    </row>
    <row r="703" ht="15.75" customHeight="1">
      <c r="H703" s="35"/>
    </row>
    <row r="704" ht="15.75" customHeight="1">
      <c r="H704" s="35"/>
    </row>
    <row r="705" ht="15.75" customHeight="1">
      <c r="H705" s="35"/>
    </row>
    <row r="706" ht="15.75" customHeight="1">
      <c r="H706" s="35"/>
    </row>
    <row r="707" ht="15.75" customHeight="1">
      <c r="H707" s="35"/>
    </row>
    <row r="708" ht="15.75" customHeight="1">
      <c r="H708" s="35"/>
    </row>
    <row r="709" ht="15.75" customHeight="1">
      <c r="H709" s="35"/>
    </row>
    <row r="710" ht="15.75" customHeight="1">
      <c r="H710" s="35"/>
    </row>
    <row r="711" ht="15.75" customHeight="1">
      <c r="H711" s="35"/>
    </row>
    <row r="712" ht="15.75" customHeight="1">
      <c r="H712" s="35"/>
    </row>
    <row r="713" ht="15.75" customHeight="1">
      <c r="H713" s="35"/>
    </row>
    <row r="714" ht="15.75" customHeight="1">
      <c r="H714" s="35"/>
    </row>
    <row r="715" ht="15.75" customHeight="1">
      <c r="H715" s="35"/>
    </row>
    <row r="716" ht="15.75" customHeight="1">
      <c r="H716" s="35"/>
    </row>
    <row r="717" ht="15.75" customHeight="1">
      <c r="H717" s="35"/>
    </row>
    <row r="718" ht="15.75" customHeight="1">
      <c r="H718" s="35"/>
    </row>
    <row r="719" ht="15.75" customHeight="1">
      <c r="H719" s="35"/>
    </row>
    <row r="720" ht="15.75" customHeight="1">
      <c r="H720" s="35"/>
    </row>
    <row r="721" ht="15.75" customHeight="1">
      <c r="H721" s="35"/>
    </row>
    <row r="722" ht="15.75" customHeight="1">
      <c r="H722" s="35"/>
    </row>
    <row r="723" ht="15.75" customHeight="1">
      <c r="H723" s="35"/>
    </row>
    <row r="724" ht="15.75" customHeight="1">
      <c r="H724" s="35"/>
    </row>
    <row r="725" ht="15.75" customHeight="1">
      <c r="H725" s="35"/>
    </row>
    <row r="726" ht="15.75" customHeight="1">
      <c r="H726" s="35"/>
    </row>
    <row r="727" ht="15.75" customHeight="1">
      <c r="H727" s="35"/>
    </row>
    <row r="728" ht="15.75" customHeight="1">
      <c r="H728" s="35"/>
    </row>
    <row r="729" ht="15.75" customHeight="1">
      <c r="H729" s="35"/>
    </row>
    <row r="730" ht="15.75" customHeight="1">
      <c r="H730" s="35"/>
    </row>
    <row r="731" ht="15.75" customHeight="1">
      <c r="H731" s="35"/>
    </row>
    <row r="732" ht="15.75" customHeight="1">
      <c r="H732" s="35"/>
    </row>
    <row r="733" ht="15.75" customHeight="1">
      <c r="H733" s="35"/>
    </row>
    <row r="734" ht="15.75" customHeight="1">
      <c r="H734" s="35"/>
    </row>
    <row r="735" ht="15.75" customHeight="1">
      <c r="H735" s="35"/>
    </row>
    <row r="736" ht="15.75" customHeight="1">
      <c r="H736" s="35"/>
    </row>
    <row r="737" ht="15.75" customHeight="1">
      <c r="H737" s="35"/>
    </row>
    <row r="738" ht="15.75" customHeight="1">
      <c r="H738" s="35"/>
    </row>
    <row r="739" ht="15.75" customHeight="1">
      <c r="H739" s="35"/>
    </row>
    <row r="740" ht="15.75" customHeight="1">
      <c r="H740" s="35"/>
    </row>
    <row r="741" ht="15.75" customHeight="1">
      <c r="H741" s="35"/>
    </row>
    <row r="742" ht="15.75" customHeight="1">
      <c r="H742" s="35"/>
    </row>
    <row r="743" ht="15.75" customHeight="1">
      <c r="H743" s="35"/>
    </row>
    <row r="744" ht="15.75" customHeight="1">
      <c r="H744" s="35"/>
    </row>
    <row r="745" ht="15.75" customHeight="1">
      <c r="H745" s="35"/>
    </row>
    <row r="746" ht="15.75" customHeight="1">
      <c r="H746" s="35"/>
    </row>
    <row r="747" ht="15.75" customHeight="1">
      <c r="H747" s="35"/>
    </row>
    <row r="748" ht="15.75" customHeight="1">
      <c r="H748" s="35"/>
    </row>
    <row r="749" ht="15.75" customHeight="1">
      <c r="H749" s="35"/>
    </row>
    <row r="750" ht="15.75" customHeight="1">
      <c r="H750" s="35"/>
    </row>
    <row r="751" ht="15.75" customHeight="1">
      <c r="H751" s="35"/>
    </row>
    <row r="752" ht="15.75" customHeight="1">
      <c r="H752" s="35"/>
    </row>
    <row r="753" ht="15.75" customHeight="1">
      <c r="H753" s="35"/>
    </row>
    <row r="754" ht="15.75" customHeight="1">
      <c r="H754" s="35"/>
    </row>
    <row r="755" ht="15.75" customHeight="1">
      <c r="H755" s="35"/>
    </row>
    <row r="756" ht="15.75" customHeight="1">
      <c r="H756" s="35"/>
    </row>
    <row r="757" ht="15.75" customHeight="1">
      <c r="H757" s="35"/>
    </row>
    <row r="758" ht="15.75" customHeight="1">
      <c r="H758" s="35"/>
    </row>
    <row r="759" ht="15.75" customHeight="1">
      <c r="H759" s="35"/>
    </row>
    <row r="760" ht="15.75" customHeight="1">
      <c r="H760" s="35"/>
    </row>
    <row r="761" ht="15.75" customHeight="1">
      <c r="H761" s="35"/>
    </row>
    <row r="762" ht="15.75" customHeight="1">
      <c r="H762" s="35"/>
    </row>
    <row r="763" ht="15.75" customHeight="1">
      <c r="H763" s="35"/>
    </row>
    <row r="764" ht="15.75" customHeight="1">
      <c r="H764" s="35"/>
    </row>
    <row r="765" ht="15.75" customHeight="1">
      <c r="H765" s="35"/>
    </row>
    <row r="766" ht="15.75" customHeight="1">
      <c r="H766" s="35"/>
    </row>
    <row r="767" ht="15.75" customHeight="1">
      <c r="H767" s="35"/>
    </row>
    <row r="768" ht="15.75" customHeight="1">
      <c r="H768" s="35"/>
    </row>
    <row r="769" ht="15.75" customHeight="1">
      <c r="H769" s="35"/>
    </row>
    <row r="770" ht="15.75" customHeight="1">
      <c r="H770" s="35"/>
    </row>
    <row r="771" ht="15.75" customHeight="1">
      <c r="H771" s="35"/>
    </row>
    <row r="772" ht="15.75" customHeight="1">
      <c r="H772" s="35"/>
    </row>
    <row r="773" ht="15.75" customHeight="1">
      <c r="H773" s="35"/>
    </row>
    <row r="774" ht="15.75" customHeight="1">
      <c r="H774" s="35"/>
    </row>
    <row r="775" ht="15.75" customHeight="1">
      <c r="H775" s="35"/>
    </row>
    <row r="776" ht="15.75" customHeight="1">
      <c r="H776" s="35"/>
    </row>
    <row r="777" ht="15.75" customHeight="1">
      <c r="H777" s="35"/>
    </row>
    <row r="778" ht="15.75" customHeight="1">
      <c r="H778" s="35"/>
    </row>
    <row r="779" ht="15.75" customHeight="1">
      <c r="H779" s="35"/>
    </row>
    <row r="780" ht="15.75" customHeight="1">
      <c r="H780" s="35"/>
    </row>
    <row r="781" ht="15.75" customHeight="1">
      <c r="H781" s="35"/>
    </row>
    <row r="782" ht="15.75" customHeight="1">
      <c r="H782" s="35"/>
    </row>
    <row r="783" ht="15.75" customHeight="1">
      <c r="H783" s="35"/>
    </row>
    <row r="784" ht="15.75" customHeight="1">
      <c r="H784" s="35"/>
    </row>
    <row r="785" ht="15.75" customHeight="1">
      <c r="H785" s="35"/>
    </row>
    <row r="786" ht="15.75" customHeight="1">
      <c r="H786" s="35"/>
    </row>
    <row r="787" ht="15.75" customHeight="1">
      <c r="H787" s="35"/>
    </row>
    <row r="788" ht="15.75" customHeight="1">
      <c r="H788" s="35"/>
    </row>
    <row r="789" ht="15.75" customHeight="1">
      <c r="H789" s="35"/>
    </row>
    <row r="790" ht="15.75" customHeight="1">
      <c r="H790" s="35"/>
    </row>
    <row r="791" ht="15.75" customHeight="1">
      <c r="H791" s="35"/>
    </row>
    <row r="792" ht="15.75" customHeight="1">
      <c r="H792" s="35"/>
    </row>
    <row r="793" ht="15.75" customHeight="1">
      <c r="H793" s="35"/>
    </row>
    <row r="794" ht="15.75" customHeight="1">
      <c r="H794" s="35"/>
    </row>
    <row r="795" ht="15.75" customHeight="1">
      <c r="H795" s="35"/>
    </row>
    <row r="796" ht="15.75" customHeight="1">
      <c r="H796" s="35"/>
    </row>
    <row r="797" ht="15.75" customHeight="1">
      <c r="H797" s="35"/>
    </row>
    <row r="798" ht="15.75" customHeight="1">
      <c r="H798" s="35"/>
    </row>
    <row r="799" ht="15.75" customHeight="1">
      <c r="H799" s="35"/>
    </row>
    <row r="800" ht="15.75" customHeight="1">
      <c r="H800" s="35"/>
    </row>
    <row r="801" ht="15.75" customHeight="1">
      <c r="H801" s="35"/>
    </row>
    <row r="802" ht="15.75" customHeight="1">
      <c r="H802" s="35"/>
    </row>
    <row r="803" ht="15.75" customHeight="1">
      <c r="H803" s="35"/>
    </row>
    <row r="804" ht="15.75" customHeight="1">
      <c r="H804" s="35"/>
    </row>
    <row r="805" ht="15.75" customHeight="1">
      <c r="H805" s="35"/>
    </row>
    <row r="806" ht="15.75" customHeight="1">
      <c r="H806" s="35"/>
    </row>
    <row r="807" ht="15.75" customHeight="1">
      <c r="H807" s="35"/>
    </row>
    <row r="808" ht="15.75" customHeight="1">
      <c r="H808" s="35"/>
    </row>
    <row r="809" ht="15.75" customHeight="1">
      <c r="H809" s="35"/>
    </row>
    <row r="810" ht="15.75" customHeight="1">
      <c r="H810" s="35"/>
    </row>
    <row r="811" ht="15.75" customHeight="1">
      <c r="H811" s="35"/>
    </row>
    <row r="812" ht="15.75" customHeight="1">
      <c r="H812" s="35"/>
    </row>
    <row r="813" ht="15.75" customHeight="1">
      <c r="H813" s="35"/>
    </row>
    <row r="814" ht="15.75" customHeight="1">
      <c r="H814" s="35"/>
    </row>
    <row r="815" ht="15.75" customHeight="1">
      <c r="H815" s="35"/>
    </row>
    <row r="816" ht="15.75" customHeight="1">
      <c r="H816" s="35"/>
    </row>
    <row r="817" ht="15.75" customHeight="1">
      <c r="H817" s="35"/>
    </row>
    <row r="818" ht="15.75" customHeight="1">
      <c r="H818" s="35"/>
    </row>
    <row r="819" ht="15.75" customHeight="1">
      <c r="H819" s="35"/>
    </row>
    <row r="820" ht="15.75" customHeight="1">
      <c r="H820" s="35"/>
    </row>
    <row r="821" ht="15.75" customHeight="1">
      <c r="H821" s="35"/>
    </row>
    <row r="822" ht="15.75" customHeight="1">
      <c r="H822" s="35"/>
    </row>
    <row r="823" ht="15.75" customHeight="1">
      <c r="H823" s="35"/>
    </row>
    <row r="824" ht="15.75" customHeight="1">
      <c r="H824" s="35"/>
    </row>
    <row r="825" ht="15.75" customHeight="1">
      <c r="H825" s="35"/>
    </row>
    <row r="826" ht="15.75" customHeight="1">
      <c r="H826" s="35"/>
    </row>
    <row r="827" ht="15.75" customHeight="1">
      <c r="H827" s="35"/>
    </row>
    <row r="828" ht="15.75" customHeight="1">
      <c r="H828" s="35"/>
    </row>
    <row r="829" ht="15.75" customHeight="1">
      <c r="H829" s="35"/>
    </row>
    <row r="830" ht="15.75" customHeight="1">
      <c r="H830" s="35"/>
    </row>
    <row r="831" ht="15.75" customHeight="1">
      <c r="H831" s="35"/>
    </row>
    <row r="832" ht="15.75" customHeight="1">
      <c r="H832" s="35"/>
    </row>
    <row r="833" ht="15.75" customHeight="1">
      <c r="H833" s="35"/>
    </row>
    <row r="834" ht="15.75" customHeight="1">
      <c r="H834" s="35"/>
    </row>
    <row r="835" ht="15.75" customHeight="1">
      <c r="H835" s="35"/>
    </row>
    <row r="836" ht="15.75" customHeight="1">
      <c r="H836" s="35"/>
    </row>
    <row r="837" ht="15.75" customHeight="1">
      <c r="H837" s="35"/>
    </row>
    <row r="838" ht="15.75" customHeight="1">
      <c r="H838" s="35"/>
    </row>
    <row r="839" ht="15.75" customHeight="1">
      <c r="H839" s="35"/>
    </row>
    <row r="840" ht="15.75" customHeight="1">
      <c r="H840" s="35"/>
    </row>
    <row r="841" ht="15.75" customHeight="1">
      <c r="H841" s="35"/>
    </row>
    <row r="842" ht="15.75" customHeight="1">
      <c r="H842" s="35"/>
    </row>
    <row r="843" ht="15.75" customHeight="1">
      <c r="H843" s="35"/>
    </row>
    <row r="844" ht="15.75" customHeight="1">
      <c r="H844" s="35"/>
    </row>
    <row r="845" ht="15.75" customHeight="1">
      <c r="H845" s="35"/>
    </row>
    <row r="846" ht="15.75" customHeight="1">
      <c r="H846" s="35"/>
    </row>
    <row r="847" ht="15.75" customHeight="1">
      <c r="H847" s="35"/>
    </row>
    <row r="848" ht="15.75" customHeight="1">
      <c r="H848" s="35"/>
    </row>
    <row r="849" ht="15.75" customHeight="1">
      <c r="H849" s="35"/>
    </row>
    <row r="850" ht="15.75" customHeight="1">
      <c r="H850" s="35"/>
    </row>
    <row r="851" ht="15.75" customHeight="1">
      <c r="H851" s="35"/>
    </row>
    <row r="852" ht="15.75" customHeight="1">
      <c r="H852" s="35"/>
    </row>
    <row r="853" ht="15.75" customHeight="1">
      <c r="H853" s="35"/>
    </row>
    <row r="854" ht="15.75" customHeight="1">
      <c r="H854" s="35"/>
    </row>
    <row r="855" ht="15.75" customHeight="1">
      <c r="H855" s="35"/>
    </row>
    <row r="856" ht="15.75" customHeight="1">
      <c r="H856" s="35"/>
    </row>
    <row r="857" ht="15.75" customHeight="1">
      <c r="H857" s="35"/>
    </row>
    <row r="858" ht="15.75" customHeight="1">
      <c r="H858" s="35"/>
    </row>
    <row r="859" ht="15.75" customHeight="1">
      <c r="H859" s="35"/>
    </row>
    <row r="860" ht="15.75" customHeight="1">
      <c r="H860" s="35"/>
    </row>
    <row r="861" ht="15.75" customHeight="1">
      <c r="H861" s="35"/>
    </row>
    <row r="862" ht="15.75" customHeight="1">
      <c r="H862" s="35"/>
    </row>
    <row r="863" ht="15.75" customHeight="1">
      <c r="H863" s="35"/>
    </row>
    <row r="864" ht="15.75" customHeight="1">
      <c r="H864" s="35"/>
    </row>
    <row r="865" ht="15.75" customHeight="1">
      <c r="H865" s="35"/>
    </row>
    <row r="866" ht="15.75" customHeight="1">
      <c r="H866" s="35"/>
    </row>
    <row r="867" ht="15.75" customHeight="1">
      <c r="H867" s="35"/>
    </row>
    <row r="868" ht="15.75" customHeight="1">
      <c r="H868" s="35"/>
    </row>
    <row r="869" ht="15.75" customHeight="1">
      <c r="H869" s="35"/>
    </row>
    <row r="870" ht="15.75" customHeight="1">
      <c r="H870" s="35"/>
    </row>
    <row r="871" ht="15.75" customHeight="1">
      <c r="H871" s="35"/>
    </row>
    <row r="872" ht="15.75" customHeight="1">
      <c r="H872" s="35"/>
    </row>
    <row r="873" ht="15.75" customHeight="1">
      <c r="H873" s="35"/>
    </row>
    <row r="874" ht="15.75" customHeight="1">
      <c r="H874" s="35"/>
    </row>
    <row r="875" ht="15.75" customHeight="1">
      <c r="H875" s="35"/>
    </row>
    <row r="876" ht="15.75" customHeight="1">
      <c r="H876" s="35"/>
    </row>
    <row r="877" ht="15.75" customHeight="1">
      <c r="H877" s="35"/>
    </row>
    <row r="878" ht="15.75" customHeight="1">
      <c r="H878" s="35"/>
    </row>
    <row r="879" ht="15.75" customHeight="1">
      <c r="H879" s="35"/>
    </row>
    <row r="880" ht="15.75" customHeight="1">
      <c r="H880" s="35"/>
    </row>
    <row r="881" ht="15.75" customHeight="1">
      <c r="H881" s="35"/>
    </row>
    <row r="882" ht="15.75" customHeight="1">
      <c r="H882" s="35"/>
    </row>
    <row r="883" ht="15.75" customHeight="1">
      <c r="H883" s="35"/>
    </row>
    <row r="884" ht="15.75" customHeight="1">
      <c r="H884" s="35"/>
    </row>
    <row r="885" ht="15.75" customHeight="1">
      <c r="H885" s="35"/>
    </row>
    <row r="886" ht="15.75" customHeight="1">
      <c r="H886" s="35"/>
    </row>
    <row r="887" ht="15.75" customHeight="1">
      <c r="H887" s="35"/>
    </row>
    <row r="888" ht="15.75" customHeight="1">
      <c r="H888" s="35"/>
    </row>
    <row r="889" ht="15.75" customHeight="1">
      <c r="H889" s="35"/>
    </row>
    <row r="890" ht="15.75" customHeight="1">
      <c r="H890" s="35"/>
    </row>
    <row r="891" ht="15.75" customHeight="1">
      <c r="H891" s="35"/>
    </row>
    <row r="892" ht="15.75" customHeight="1">
      <c r="H892" s="35"/>
    </row>
    <row r="893" ht="15.75" customHeight="1">
      <c r="H893" s="35"/>
    </row>
    <row r="894" ht="15.75" customHeight="1">
      <c r="H894" s="35"/>
    </row>
    <row r="895" ht="15.75" customHeight="1">
      <c r="H895" s="35"/>
    </row>
    <row r="896" ht="15.75" customHeight="1">
      <c r="H896" s="35"/>
    </row>
    <row r="897" ht="15.75" customHeight="1">
      <c r="H897" s="35"/>
    </row>
    <row r="898" ht="15.75" customHeight="1">
      <c r="H898" s="35"/>
    </row>
    <row r="899" ht="15.75" customHeight="1">
      <c r="H899" s="35"/>
    </row>
    <row r="900" ht="15.75" customHeight="1">
      <c r="H900" s="35"/>
    </row>
    <row r="901" ht="15.75" customHeight="1">
      <c r="H901" s="35"/>
    </row>
    <row r="902" ht="15.75" customHeight="1">
      <c r="H902" s="35"/>
    </row>
    <row r="903" ht="15.75" customHeight="1">
      <c r="H903" s="35"/>
    </row>
    <row r="904" ht="15.75" customHeight="1">
      <c r="H904" s="35"/>
    </row>
    <row r="905" ht="15.75" customHeight="1">
      <c r="H905" s="35"/>
    </row>
    <row r="906" ht="15.75" customHeight="1">
      <c r="H906" s="35"/>
    </row>
    <row r="907" ht="15.75" customHeight="1">
      <c r="H907" s="35"/>
    </row>
    <row r="908" ht="15.75" customHeight="1">
      <c r="H908" s="35"/>
    </row>
    <row r="909" ht="15.75" customHeight="1">
      <c r="H909" s="35"/>
    </row>
    <row r="910" ht="15.75" customHeight="1">
      <c r="H910" s="35"/>
    </row>
    <row r="911" ht="15.75" customHeight="1">
      <c r="H911" s="35"/>
    </row>
    <row r="912" ht="15.75" customHeight="1">
      <c r="H912" s="35"/>
    </row>
    <row r="913" ht="15.75" customHeight="1">
      <c r="H913" s="35"/>
    </row>
    <row r="914" ht="15.75" customHeight="1">
      <c r="H914" s="35"/>
    </row>
    <row r="915" ht="15.75" customHeight="1">
      <c r="H915" s="35"/>
    </row>
    <row r="916" ht="15.75" customHeight="1">
      <c r="H916" s="35"/>
    </row>
    <row r="917" ht="15.75" customHeight="1">
      <c r="H917" s="35"/>
    </row>
    <row r="918" ht="15.75" customHeight="1">
      <c r="H918" s="35"/>
    </row>
    <row r="919" ht="15.75" customHeight="1">
      <c r="H919" s="35"/>
    </row>
    <row r="920" ht="15.75" customHeight="1">
      <c r="H920" s="35"/>
    </row>
    <row r="921" ht="15.75" customHeight="1">
      <c r="H921" s="35"/>
    </row>
    <row r="922" ht="15.75" customHeight="1">
      <c r="H922" s="35"/>
    </row>
    <row r="923" ht="15.75" customHeight="1">
      <c r="H923" s="35"/>
    </row>
    <row r="924" ht="15.75" customHeight="1">
      <c r="H924" s="35"/>
    </row>
    <row r="925" ht="15.75" customHeight="1">
      <c r="H925" s="35"/>
    </row>
    <row r="926" ht="15.75" customHeight="1">
      <c r="H926" s="35"/>
    </row>
    <row r="927" ht="15.75" customHeight="1">
      <c r="H927" s="35"/>
    </row>
    <row r="928" ht="15.75" customHeight="1">
      <c r="H928" s="35"/>
    </row>
    <row r="929" ht="15.75" customHeight="1">
      <c r="H929" s="35"/>
    </row>
    <row r="930" ht="15.75" customHeight="1">
      <c r="H930" s="35"/>
    </row>
    <row r="931" ht="15.75" customHeight="1">
      <c r="H931" s="35"/>
    </row>
    <row r="932" ht="15.75" customHeight="1">
      <c r="H932" s="35"/>
    </row>
    <row r="933" ht="15.75" customHeight="1">
      <c r="H933" s="35"/>
    </row>
    <row r="934" ht="15.75" customHeight="1">
      <c r="H934" s="35"/>
    </row>
    <row r="935" ht="15.75" customHeight="1">
      <c r="H935" s="35"/>
    </row>
    <row r="936" ht="15.75" customHeight="1">
      <c r="H936" s="35"/>
    </row>
    <row r="937" ht="15.75" customHeight="1">
      <c r="H937" s="35"/>
    </row>
    <row r="938" ht="15.75" customHeight="1">
      <c r="H938" s="35"/>
    </row>
    <row r="939" ht="15.75" customHeight="1">
      <c r="H939" s="35"/>
    </row>
    <row r="940" ht="15.75" customHeight="1">
      <c r="H940" s="35"/>
    </row>
    <row r="941" ht="15.75" customHeight="1">
      <c r="H941" s="35"/>
    </row>
    <row r="942" ht="15.75" customHeight="1">
      <c r="H942" s="35"/>
    </row>
    <row r="943" ht="15.75" customHeight="1">
      <c r="H943" s="35"/>
    </row>
    <row r="944" ht="15.75" customHeight="1">
      <c r="H944" s="35"/>
    </row>
    <row r="945" ht="15.75" customHeight="1">
      <c r="H945" s="35"/>
    </row>
    <row r="946" ht="15.75" customHeight="1">
      <c r="H946" s="35"/>
    </row>
    <row r="947" ht="15.75" customHeight="1">
      <c r="H947" s="35"/>
    </row>
    <row r="948" ht="15.75" customHeight="1">
      <c r="H948" s="35"/>
    </row>
    <row r="949" ht="15.75" customHeight="1">
      <c r="H949" s="35"/>
    </row>
    <row r="950" ht="15.75" customHeight="1">
      <c r="H950" s="35"/>
    </row>
    <row r="951" ht="15.75" customHeight="1">
      <c r="H951" s="35"/>
    </row>
    <row r="952" ht="15.75" customHeight="1">
      <c r="H952" s="35"/>
    </row>
    <row r="953" ht="15.75" customHeight="1">
      <c r="H953" s="35"/>
    </row>
    <row r="954" ht="15.75" customHeight="1">
      <c r="H954" s="35"/>
    </row>
    <row r="955" ht="15.75" customHeight="1">
      <c r="H955" s="35"/>
    </row>
    <row r="956" ht="15.75" customHeight="1">
      <c r="H956" s="35"/>
    </row>
    <row r="957" ht="15.75" customHeight="1">
      <c r="H957" s="35"/>
    </row>
    <row r="958" ht="15.75" customHeight="1">
      <c r="H958" s="35"/>
    </row>
    <row r="959" ht="15.75" customHeight="1">
      <c r="H959" s="35"/>
    </row>
    <row r="960" ht="15.75" customHeight="1">
      <c r="H960" s="35"/>
    </row>
    <row r="961" ht="15.75" customHeight="1">
      <c r="H961" s="35"/>
    </row>
    <row r="962" ht="15.75" customHeight="1">
      <c r="H962" s="35"/>
    </row>
    <row r="963" ht="15.75" customHeight="1">
      <c r="H963" s="35"/>
    </row>
    <row r="964" ht="15.75" customHeight="1">
      <c r="H964" s="35"/>
    </row>
    <row r="965" ht="15.75" customHeight="1">
      <c r="H965" s="35"/>
    </row>
    <row r="966" ht="15.75" customHeight="1">
      <c r="H966" s="35"/>
    </row>
    <row r="967" ht="15.75" customHeight="1">
      <c r="H967" s="35"/>
    </row>
    <row r="968" ht="15.75" customHeight="1">
      <c r="H968" s="35"/>
    </row>
    <row r="969" ht="15.75" customHeight="1">
      <c r="H969" s="35"/>
    </row>
    <row r="970" ht="15.75" customHeight="1">
      <c r="H970" s="35"/>
    </row>
    <row r="971" ht="15.75" customHeight="1">
      <c r="H971" s="35"/>
    </row>
    <row r="972" ht="15.75" customHeight="1">
      <c r="H972" s="35"/>
    </row>
    <row r="973" ht="15.75" customHeight="1">
      <c r="H973" s="35"/>
    </row>
    <row r="974" ht="15.75" customHeight="1">
      <c r="H974" s="35"/>
    </row>
    <row r="975" ht="15.75" customHeight="1">
      <c r="H975" s="35"/>
    </row>
    <row r="976" ht="15.75" customHeight="1">
      <c r="H976" s="35"/>
    </row>
    <row r="977" ht="15.75" customHeight="1">
      <c r="H977" s="35"/>
    </row>
    <row r="978" ht="15.75" customHeight="1">
      <c r="H978" s="35"/>
    </row>
    <row r="979" ht="15.75" customHeight="1">
      <c r="H979" s="35"/>
    </row>
    <row r="980" ht="15.75" customHeight="1">
      <c r="H980" s="35"/>
    </row>
    <row r="981" ht="15.75" customHeight="1">
      <c r="H981" s="35"/>
    </row>
    <row r="982" ht="15.75" customHeight="1">
      <c r="H982" s="35"/>
    </row>
    <row r="983" ht="15.75" customHeight="1">
      <c r="H983" s="35"/>
    </row>
    <row r="984" ht="15.75" customHeight="1">
      <c r="H984" s="35"/>
    </row>
    <row r="985" ht="15.75" customHeight="1">
      <c r="H985" s="35"/>
    </row>
    <row r="986" ht="15.75" customHeight="1">
      <c r="H986" s="35"/>
    </row>
    <row r="987" ht="15.75" customHeight="1">
      <c r="H987" s="35"/>
    </row>
    <row r="988" ht="15.75" customHeight="1">
      <c r="H988" s="35"/>
    </row>
    <row r="989" ht="15.75" customHeight="1">
      <c r="H989" s="35"/>
    </row>
    <row r="990" ht="15.75" customHeight="1">
      <c r="H990" s="35"/>
    </row>
    <row r="991" ht="15.75" customHeight="1">
      <c r="H991" s="35"/>
    </row>
    <row r="992" ht="15.75" customHeight="1">
      <c r="H992" s="35"/>
    </row>
    <row r="993" ht="15.75" customHeight="1">
      <c r="H993" s="35"/>
    </row>
    <row r="994" ht="15.75" customHeight="1">
      <c r="H994" s="35"/>
    </row>
    <row r="995" ht="15.75" customHeight="1">
      <c r="H995" s="35"/>
    </row>
    <row r="996" ht="15.75" customHeight="1">
      <c r="H996" s="35"/>
    </row>
    <row r="997" ht="15.75" customHeight="1">
      <c r="H997" s="35"/>
    </row>
    <row r="998" ht="15.75" customHeight="1">
      <c r="H998" s="35"/>
    </row>
    <row r="999" ht="15.75" customHeight="1">
      <c r="H999" s="35"/>
    </row>
  </sheetData>
  <mergeCells count="2">
    <mergeCell ref="A1:N1"/>
    <mergeCell ref="A2:N2"/>
  </mergeCells>
  <conditionalFormatting sqref="I5:I33">
    <cfRule type="expression" dxfId="5" priority="1">
      <formula>I5="Good"</formula>
    </cfRule>
  </conditionalFormatting>
  <conditionalFormatting sqref="I5:I33">
    <cfRule type="expression" dxfId="7" priority="2">
      <formula>I5="Needs attention"</formula>
    </cfRule>
  </conditionalFormatting>
  <conditionalFormatting sqref="I5:I33">
    <cfRule type="expression" dxfId="6" priority="3">
      <formula>I5="High risk"</formula>
    </cfRule>
  </conditionalFormatting>
  <conditionalFormatting sqref="I5:I33">
    <cfRule type="expression" dxfId="8" priority="4">
      <formula>I5="Not yet checked"</formula>
    </cfRule>
  </conditionalFormatting>
  <dataValidations>
    <dataValidation type="list" allowBlank="1" sqref="E5:G33">
      <formula1>"Yes,No,Not yet checked"</formula1>
    </dataValidation>
    <dataValidation type="list" allowBlank="1" sqref="I5:I33">
      <formula1>"Good,Needs attention,High risk,Not yet checked"</formula1>
    </dataValidation>
  </dataValidation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18.0"/>
    <col customWidth="1" min="3" max="3" width="29.0"/>
    <col customWidth="1" min="4" max="4" width="33.0"/>
    <col customWidth="1" min="5" max="5" width="12.0"/>
    <col customWidth="1" min="6" max="6" width="18.0"/>
    <col customWidth="1" min="7" max="8" width="17.0"/>
    <col customWidth="1" min="9" max="9" width="14.0"/>
    <col customWidth="1" min="10" max="10" width="27.0"/>
    <col customWidth="1" min="11" max="11" width="24.0"/>
    <col customWidth="1" min="12" max="12" width="22.0"/>
    <col customWidth="1" min="13" max="23" width="8.63"/>
  </cols>
  <sheetData>
    <row r="1" ht="27.75" customHeight="1">
      <c r="A1" s="6" t="s">
        <v>1</v>
      </c>
    </row>
    <row r="2" ht="30.0" customHeight="1">
      <c r="A2" s="8"/>
    </row>
    <row r="3">
      <c r="A3" s="10"/>
      <c r="B3" s="10"/>
      <c r="C3" s="10"/>
      <c r="D3" s="10"/>
      <c r="E3" s="10"/>
      <c r="F3" s="10"/>
      <c r="G3" s="10"/>
      <c r="H3" s="10"/>
      <c r="I3" s="10"/>
      <c r="J3" s="10"/>
      <c r="K3" s="10"/>
      <c r="L3" s="10"/>
    </row>
    <row r="4" ht="37.5" customHeight="1">
      <c r="A4" s="15" t="s">
        <v>6</v>
      </c>
      <c r="B4" s="15" t="s">
        <v>10</v>
      </c>
      <c r="C4" s="15" t="s">
        <v>14</v>
      </c>
      <c r="D4" s="15" t="s">
        <v>17</v>
      </c>
      <c r="E4" s="15" t="s">
        <v>19</v>
      </c>
      <c r="F4" s="15" t="s">
        <v>24</v>
      </c>
      <c r="G4" s="15" t="s">
        <v>28</v>
      </c>
      <c r="H4" s="15" t="s">
        <v>33</v>
      </c>
      <c r="I4" s="15" t="s">
        <v>41</v>
      </c>
      <c r="J4" s="15" t="s">
        <v>46</v>
      </c>
      <c r="K4" s="15" t="s">
        <v>48</v>
      </c>
      <c r="L4" s="15" t="s">
        <v>49</v>
      </c>
    </row>
    <row r="5">
      <c r="A5" s="20" t="s">
        <v>53</v>
      </c>
      <c r="B5" s="20" t="s">
        <v>45</v>
      </c>
      <c r="C5" s="20" t="s">
        <v>56</v>
      </c>
      <c r="D5" s="20" t="s">
        <v>60</v>
      </c>
      <c r="E5" s="25" t="s">
        <v>54</v>
      </c>
      <c r="F5" s="20" t="s">
        <v>68</v>
      </c>
      <c r="G5" s="20" t="s">
        <v>54</v>
      </c>
      <c r="H5" s="25" t="s">
        <v>73</v>
      </c>
      <c r="I5" s="25" t="s">
        <v>74</v>
      </c>
      <c r="J5" s="25" t="s">
        <v>75</v>
      </c>
      <c r="K5" s="25" t="s">
        <v>64</v>
      </c>
      <c r="L5" s="25" t="s">
        <v>76</v>
      </c>
    </row>
    <row r="6">
      <c r="A6" s="25" t="s">
        <v>79</v>
      </c>
      <c r="B6" s="20" t="s">
        <v>45</v>
      </c>
      <c r="C6" s="20" t="s">
        <v>82</v>
      </c>
      <c r="D6" s="20" t="s">
        <v>85</v>
      </c>
      <c r="E6" s="25" t="s">
        <v>54</v>
      </c>
      <c r="F6" s="20" t="s">
        <v>89</v>
      </c>
      <c r="G6" s="20" t="s">
        <v>54</v>
      </c>
      <c r="H6" s="25" t="s">
        <v>73</v>
      </c>
      <c r="I6" s="25" t="s">
        <v>74</v>
      </c>
      <c r="J6" s="25" t="s">
        <v>75</v>
      </c>
      <c r="K6" s="25" t="s">
        <v>64</v>
      </c>
      <c r="L6" s="25" t="s">
        <v>76</v>
      </c>
    </row>
    <row r="7">
      <c r="A7" s="25" t="s">
        <v>97</v>
      </c>
      <c r="B7" s="20" t="s">
        <v>70</v>
      </c>
      <c r="C7" s="20" t="s">
        <v>98</v>
      </c>
      <c r="D7" s="20" t="s">
        <v>99</v>
      </c>
      <c r="E7" s="25" t="s">
        <v>54</v>
      </c>
      <c r="F7" s="20" t="s">
        <v>68</v>
      </c>
      <c r="G7" s="20" t="s">
        <v>54</v>
      </c>
      <c r="H7" s="25" t="s">
        <v>73</v>
      </c>
      <c r="I7" s="25" t="s">
        <v>74</v>
      </c>
      <c r="J7" s="25" t="s">
        <v>75</v>
      </c>
      <c r="K7" s="25" t="s">
        <v>64</v>
      </c>
      <c r="L7" s="25" t="s">
        <v>76</v>
      </c>
    </row>
    <row r="8">
      <c r="A8" s="25" t="s">
        <v>100</v>
      </c>
      <c r="B8" s="20" t="s">
        <v>102</v>
      </c>
      <c r="C8" s="25" t="s">
        <v>104</v>
      </c>
      <c r="D8" s="20" t="s">
        <v>106</v>
      </c>
      <c r="E8" s="25" t="s">
        <v>54</v>
      </c>
      <c r="F8" s="20" t="s">
        <v>68</v>
      </c>
      <c r="G8" s="20" t="s">
        <v>54</v>
      </c>
      <c r="H8" s="25" t="s">
        <v>73</v>
      </c>
      <c r="I8" s="25" t="s">
        <v>74</v>
      </c>
      <c r="J8" s="25" t="s">
        <v>75</v>
      </c>
      <c r="K8" s="25" t="s">
        <v>64</v>
      </c>
      <c r="L8" s="25" t="s">
        <v>76</v>
      </c>
    </row>
    <row r="9">
      <c r="A9" s="25" t="s">
        <v>111</v>
      </c>
      <c r="B9" s="20" t="s">
        <v>78</v>
      </c>
      <c r="C9" s="20" t="s">
        <v>112</v>
      </c>
      <c r="D9" s="20" t="s">
        <v>113</v>
      </c>
      <c r="E9" s="25" t="s">
        <v>54</v>
      </c>
      <c r="F9" s="20" t="s">
        <v>68</v>
      </c>
      <c r="G9" s="20" t="s">
        <v>54</v>
      </c>
      <c r="H9" s="25" t="s">
        <v>73</v>
      </c>
      <c r="I9" s="25" t="s">
        <v>74</v>
      </c>
      <c r="J9" s="25" t="s">
        <v>75</v>
      </c>
      <c r="K9" s="25" t="s">
        <v>64</v>
      </c>
      <c r="L9" s="25" t="s">
        <v>76</v>
      </c>
    </row>
    <row r="10">
      <c r="A10" s="25" t="s">
        <v>117</v>
      </c>
      <c r="B10" s="20" t="s">
        <v>118</v>
      </c>
      <c r="C10" s="25" t="s">
        <v>120</v>
      </c>
      <c r="D10" s="20" t="s">
        <v>122</v>
      </c>
      <c r="E10" s="25" t="s">
        <v>54</v>
      </c>
      <c r="F10" s="20" t="s">
        <v>68</v>
      </c>
      <c r="G10" s="20" t="s">
        <v>54</v>
      </c>
      <c r="H10" s="25" t="s">
        <v>123</v>
      </c>
      <c r="I10" s="25" t="s">
        <v>74</v>
      </c>
      <c r="J10" s="25" t="s">
        <v>200</v>
      </c>
      <c r="K10" s="25" t="s">
        <v>124</v>
      </c>
      <c r="L10" s="25" t="s">
        <v>126</v>
      </c>
    </row>
    <row r="11">
      <c r="A11" s="20"/>
      <c r="B11" s="20"/>
      <c r="C11" s="20"/>
      <c r="D11" s="20"/>
      <c r="E11" s="20"/>
      <c r="F11" s="20"/>
      <c r="G11" s="20"/>
      <c r="H11" s="20"/>
      <c r="I11" s="32"/>
      <c r="J11" s="20"/>
      <c r="K11" s="20"/>
      <c r="L11" s="20"/>
    </row>
    <row r="12">
      <c r="A12" s="20"/>
      <c r="B12" s="20"/>
      <c r="C12" s="20"/>
      <c r="D12" s="20"/>
      <c r="E12" s="20"/>
      <c r="F12" s="20"/>
      <c r="G12" s="20"/>
      <c r="H12" s="20"/>
      <c r="I12" s="32"/>
      <c r="J12" s="20"/>
      <c r="K12" s="20"/>
      <c r="L12" s="20"/>
    </row>
    <row r="13">
      <c r="A13" s="20"/>
      <c r="B13" s="20"/>
      <c r="C13" s="20"/>
      <c r="D13" s="20"/>
      <c r="E13" s="20"/>
      <c r="F13" s="20"/>
      <c r="G13" s="20"/>
      <c r="H13" s="20"/>
      <c r="I13" s="32"/>
      <c r="J13" s="20"/>
      <c r="K13" s="20"/>
      <c r="L13" s="20"/>
    </row>
    <row r="14">
      <c r="A14" s="20"/>
      <c r="B14" s="20"/>
      <c r="C14" s="20"/>
      <c r="D14" s="20"/>
      <c r="E14" s="20"/>
      <c r="F14" s="20"/>
      <c r="G14" s="20"/>
      <c r="H14" s="20"/>
      <c r="I14" s="32"/>
      <c r="J14" s="20"/>
      <c r="K14" s="20"/>
      <c r="L14" s="20"/>
    </row>
    <row r="15">
      <c r="A15" s="20"/>
      <c r="B15" s="20"/>
      <c r="C15" s="20"/>
      <c r="D15" s="20"/>
      <c r="E15" s="20"/>
      <c r="F15" s="20"/>
      <c r="G15" s="20"/>
      <c r="H15" s="20"/>
      <c r="I15" s="32"/>
      <c r="J15" s="20"/>
      <c r="K15" s="20"/>
      <c r="L15" s="20"/>
    </row>
    <row r="16">
      <c r="A16" s="20"/>
      <c r="B16" s="20"/>
      <c r="C16" s="20"/>
      <c r="D16" s="20"/>
      <c r="E16" s="20"/>
      <c r="F16" s="20"/>
      <c r="G16" s="20"/>
      <c r="H16" s="20"/>
      <c r="I16" s="32"/>
      <c r="J16" s="20"/>
      <c r="K16" s="20"/>
      <c r="L16" s="20"/>
    </row>
    <row r="17">
      <c r="A17" s="20"/>
      <c r="B17" s="20"/>
      <c r="C17" s="20"/>
      <c r="D17" s="20"/>
      <c r="E17" s="20"/>
      <c r="F17" s="20"/>
      <c r="G17" s="20"/>
      <c r="H17" s="20"/>
      <c r="I17" s="32"/>
      <c r="J17" s="20"/>
      <c r="K17" s="20"/>
      <c r="L17" s="20"/>
    </row>
    <row r="18">
      <c r="A18" s="20"/>
      <c r="B18" s="20"/>
      <c r="C18" s="20"/>
      <c r="D18" s="20"/>
      <c r="E18" s="20"/>
      <c r="F18" s="20"/>
      <c r="G18" s="20"/>
      <c r="H18" s="20"/>
      <c r="I18" s="32"/>
      <c r="J18" s="20"/>
      <c r="K18" s="20"/>
      <c r="L18" s="20"/>
    </row>
    <row r="19">
      <c r="A19" s="20"/>
      <c r="B19" s="20"/>
      <c r="C19" s="20"/>
      <c r="D19" s="20"/>
      <c r="E19" s="20"/>
      <c r="F19" s="20"/>
      <c r="G19" s="20"/>
      <c r="H19" s="20"/>
      <c r="I19" s="32"/>
      <c r="J19" s="20"/>
      <c r="K19" s="20"/>
      <c r="L19" s="20"/>
    </row>
    <row r="20">
      <c r="A20" s="20"/>
      <c r="B20" s="20"/>
      <c r="C20" s="20"/>
      <c r="D20" s="20"/>
      <c r="E20" s="20"/>
      <c r="F20" s="20"/>
      <c r="G20" s="20"/>
      <c r="H20" s="20"/>
      <c r="I20" s="32"/>
      <c r="J20" s="20"/>
      <c r="K20" s="20"/>
      <c r="L20" s="20"/>
    </row>
    <row r="21" ht="15.75" customHeight="1">
      <c r="A21" s="20"/>
      <c r="B21" s="20"/>
      <c r="C21" s="20"/>
      <c r="D21" s="20"/>
      <c r="E21" s="20"/>
      <c r="F21" s="20"/>
      <c r="G21" s="20"/>
      <c r="H21" s="20"/>
      <c r="I21" s="32"/>
      <c r="J21" s="20"/>
      <c r="K21" s="20"/>
      <c r="L21" s="20"/>
    </row>
    <row r="22" ht="15.75" customHeight="1">
      <c r="A22" s="20"/>
      <c r="B22" s="20"/>
      <c r="C22" s="20"/>
      <c r="D22" s="20"/>
      <c r="E22" s="20"/>
      <c r="F22" s="20"/>
      <c r="G22" s="20"/>
      <c r="H22" s="20"/>
      <c r="I22" s="32"/>
      <c r="J22" s="20"/>
      <c r="K22" s="20"/>
      <c r="L22" s="20"/>
    </row>
    <row r="23" ht="15.75" customHeight="1">
      <c r="A23" s="20"/>
      <c r="B23" s="20"/>
      <c r="C23" s="20"/>
      <c r="D23" s="20"/>
      <c r="E23" s="20"/>
      <c r="F23" s="20"/>
      <c r="G23" s="20"/>
      <c r="H23" s="20"/>
      <c r="I23" s="32"/>
      <c r="J23" s="20"/>
      <c r="K23" s="20"/>
      <c r="L23" s="20"/>
    </row>
    <row r="24" ht="15.75" customHeight="1">
      <c r="A24" s="20"/>
      <c r="B24" s="20"/>
      <c r="C24" s="20"/>
      <c r="D24" s="20"/>
      <c r="E24" s="20"/>
      <c r="F24" s="20"/>
      <c r="G24" s="20"/>
      <c r="H24" s="20"/>
      <c r="I24" s="32"/>
      <c r="J24" s="20"/>
      <c r="K24" s="20"/>
      <c r="L24" s="20"/>
    </row>
    <row r="25" ht="15.75" customHeight="1">
      <c r="A25" s="20"/>
      <c r="B25" s="20"/>
      <c r="C25" s="20"/>
      <c r="D25" s="20"/>
      <c r="E25" s="20"/>
      <c r="F25" s="20"/>
      <c r="G25" s="20"/>
      <c r="H25" s="20"/>
      <c r="I25" s="32"/>
      <c r="J25" s="20"/>
      <c r="K25" s="20"/>
      <c r="L25" s="20"/>
    </row>
    <row r="26" ht="15.75" customHeight="1">
      <c r="A26" s="20"/>
      <c r="B26" s="20"/>
      <c r="C26" s="20"/>
      <c r="D26" s="20"/>
      <c r="E26" s="20"/>
      <c r="F26" s="20"/>
      <c r="G26" s="20"/>
      <c r="H26" s="20"/>
      <c r="I26" s="32"/>
      <c r="J26" s="20"/>
      <c r="K26" s="20"/>
      <c r="L26" s="20"/>
    </row>
    <row r="27" ht="15.75" customHeight="1">
      <c r="A27" s="20"/>
      <c r="B27" s="20"/>
      <c r="C27" s="20"/>
      <c r="D27" s="20"/>
      <c r="E27" s="20"/>
      <c r="F27" s="20"/>
      <c r="G27" s="20"/>
      <c r="H27" s="20"/>
      <c r="I27" s="32"/>
      <c r="J27" s="20"/>
      <c r="K27" s="20"/>
      <c r="L27" s="20"/>
    </row>
    <row r="28" ht="15.75" customHeight="1">
      <c r="A28" s="20"/>
      <c r="B28" s="20"/>
      <c r="C28" s="20"/>
      <c r="D28" s="20"/>
      <c r="E28" s="20"/>
      <c r="F28" s="20"/>
      <c r="G28" s="20"/>
      <c r="H28" s="20"/>
      <c r="I28" s="32"/>
      <c r="J28" s="20"/>
      <c r="K28" s="20"/>
      <c r="L28" s="20"/>
    </row>
    <row r="29" ht="15.75" customHeight="1">
      <c r="A29" s="20"/>
      <c r="B29" s="20"/>
      <c r="C29" s="20"/>
      <c r="D29" s="20"/>
      <c r="E29" s="20"/>
      <c r="F29" s="20"/>
      <c r="G29" s="20"/>
      <c r="H29" s="20"/>
      <c r="I29" s="32"/>
      <c r="J29" s="20"/>
      <c r="K29" s="20"/>
      <c r="L29" s="20"/>
    </row>
    <row r="30" ht="15.75" customHeight="1">
      <c r="A30" s="20"/>
      <c r="B30" s="20"/>
      <c r="C30" s="20"/>
      <c r="D30" s="20"/>
      <c r="E30" s="20"/>
      <c r="F30" s="20"/>
      <c r="G30" s="20"/>
      <c r="H30" s="20"/>
      <c r="I30" s="32"/>
      <c r="J30" s="20"/>
      <c r="K30" s="20"/>
      <c r="L30" s="20"/>
    </row>
    <row r="31" ht="15.75" customHeight="1">
      <c r="A31" s="20"/>
      <c r="B31" s="20"/>
      <c r="C31" s="20"/>
      <c r="D31" s="20"/>
      <c r="E31" s="20"/>
      <c r="F31" s="20"/>
      <c r="G31" s="20"/>
      <c r="H31" s="20"/>
      <c r="I31" s="32"/>
      <c r="J31" s="20"/>
      <c r="K31" s="20"/>
      <c r="L31" s="20"/>
    </row>
    <row r="32" ht="15.75" customHeight="1">
      <c r="A32" s="20"/>
      <c r="B32" s="20"/>
      <c r="C32" s="20"/>
      <c r="D32" s="20"/>
      <c r="E32" s="20"/>
      <c r="F32" s="20"/>
      <c r="G32" s="20"/>
      <c r="H32" s="20"/>
      <c r="I32" s="32"/>
      <c r="J32" s="20"/>
      <c r="K32" s="20"/>
      <c r="L32" s="20"/>
    </row>
    <row r="33" ht="15.75" customHeight="1">
      <c r="A33" s="20"/>
      <c r="B33" s="20"/>
      <c r="C33" s="20"/>
      <c r="D33" s="20"/>
      <c r="E33" s="20"/>
      <c r="F33" s="20"/>
      <c r="G33" s="20"/>
      <c r="H33" s="20"/>
      <c r="I33" s="32"/>
      <c r="J33" s="20"/>
      <c r="K33" s="20"/>
      <c r="L33" s="20"/>
    </row>
    <row r="34" ht="15.75" customHeight="1">
      <c r="A34" s="20"/>
      <c r="B34" s="20"/>
      <c r="C34" s="20"/>
      <c r="D34" s="20"/>
      <c r="E34" s="20"/>
      <c r="F34" s="20"/>
      <c r="G34" s="20"/>
      <c r="H34" s="20"/>
      <c r="I34" s="32"/>
      <c r="J34" s="20"/>
      <c r="K34" s="20"/>
      <c r="L34" s="20"/>
    </row>
    <row r="35" ht="15.75" customHeight="1">
      <c r="A35" s="20"/>
      <c r="B35" s="20"/>
      <c r="C35" s="20"/>
      <c r="D35" s="20"/>
      <c r="E35" s="20"/>
      <c r="F35" s="20"/>
      <c r="G35" s="20"/>
      <c r="H35" s="20"/>
      <c r="I35" s="32"/>
      <c r="J35" s="20"/>
      <c r="K35" s="20"/>
      <c r="L35" s="20"/>
    </row>
    <row r="36" ht="15.75" customHeight="1">
      <c r="A36" s="20"/>
      <c r="B36" s="20"/>
      <c r="C36" s="20"/>
      <c r="D36" s="20"/>
      <c r="E36" s="20"/>
      <c r="F36" s="20"/>
      <c r="G36" s="20"/>
      <c r="H36" s="20"/>
      <c r="I36" s="32"/>
      <c r="J36" s="20"/>
      <c r="K36" s="20"/>
      <c r="L36" s="20"/>
    </row>
    <row r="37" ht="15.75" customHeight="1">
      <c r="A37" s="20"/>
      <c r="B37" s="20"/>
      <c r="C37" s="20"/>
      <c r="D37" s="20"/>
      <c r="E37" s="20"/>
      <c r="F37" s="20"/>
      <c r="G37" s="20"/>
      <c r="H37" s="20"/>
      <c r="I37" s="32"/>
      <c r="J37" s="20"/>
      <c r="K37" s="20"/>
      <c r="L37" s="20"/>
    </row>
    <row r="38" ht="15.75" customHeight="1">
      <c r="A38" s="20"/>
      <c r="B38" s="20"/>
      <c r="C38" s="20"/>
      <c r="D38" s="20"/>
      <c r="E38" s="20"/>
      <c r="F38" s="20"/>
      <c r="G38" s="20"/>
      <c r="H38" s="20"/>
      <c r="I38" s="32"/>
      <c r="J38" s="20"/>
      <c r="K38" s="20"/>
      <c r="L38" s="20"/>
    </row>
    <row r="39" ht="15.75" customHeight="1">
      <c r="A39" s="20"/>
      <c r="B39" s="20"/>
      <c r="C39" s="20"/>
      <c r="D39" s="20"/>
      <c r="E39" s="20"/>
      <c r="F39" s="20"/>
      <c r="G39" s="20"/>
      <c r="H39" s="20"/>
      <c r="I39" s="32"/>
      <c r="J39" s="20"/>
      <c r="K39" s="20"/>
      <c r="L39" s="20"/>
    </row>
    <row r="40" ht="15.75" customHeight="1">
      <c r="A40" s="20"/>
      <c r="B40" s="20"/>
      <c r="C40" s="20"/>
      <c r="D40" s="20"/>
      <c r="E40" s="20"/>
      <c r="F40" s="20"/>
      <c r="G40" s="20"/>
      <c r="H40" s="20"/>
      <c r="I40" s="32"/>
      <c r="J40" s="20"/>
      <c r="K40" s="20"/>
      <c r="L40" s="20"/>
    </row>
    <row r="41" ht="15.75" customHeight="1">
      <c r="A41" s="20"/>
      <c r="B41" s="20"/>
      <c r="C41" s="20"/>
      <c r="D41" s="20"/>
      <c r="E41" s="20"/>
      <c r="F41" s="20"/>
      <c r="G41" s="20"/>
      <c r="H41" s="20"/>
      <c r="I41" s="32"/>
      <c r="J41" s="20"/>
      <c r="K41" s="20"/>
      <c r="L41" s="20"/>
    </row>
    <row r="42" ht="15.75" customHeight="1">
      <c r="A42" s="20"/>
      <c r="B42" s="20"/>
      <c r="C42" s="20"/>
      <c r="D42" s="20"/>
      <c r="E42" s="20"/>
      <c r="F42" s="20"/>
      <c r="G42" s="20"/>
      <c r="H42" s="20"/>
      <c r="I42" s="32"/>
      <c r="J42" s="20"/>
      <c r="K42" s="20"/>
      <c r="L42" s="20"/>
    </row>
    <row r="43" ht="15.75" customHeight="1">
      <c r="A43" s="20"/>
      <c r="B43" s="20"/>
      <c r="C43" s="20"/>
      <c r="D43" s="20"/>
      <c r="E43" s="20"/>
      <c r="F43" s="20"/>
      <c r="G43" s="20"/>
      <c r="H43" s="20"/>
      <c r="I43" s="32"/>
      <c r="J43" s="20"/>
      <c r="K43" s="20"/>
      <c r="L43" s="20"/>
    </row>
    <row r="44" ht="15.75" customHeight="1">
      <c r="A44" s="20"/>
      <c r="B44" s="20"/>
      <c r="C44" s="20"/>
      <c r="D44" s="20"/>
      <c r="E44" s="20"/>
      <c r="F44" s="20"/>
      <c r="G44" s="20"/>
      <c r="H44" s="20"/>
      <c r="I44" s="32"/>
      <c r="J44" s="20"/>
      <c r="K44" s="20"/>
      <c r="L44" s="2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L1"/>
    <mergeCell ref="A2:L2"/>
  </mergeCells>
  <conditionalFormatting sqref="H5:H44">
    <cfRule type="expression" dxfId="5" priority="1">
      <formula>H5="Compliant"</formula>
    </cfRule>
  </conditionalFormatting>
  <conditionalFormatting sqref="H5:H44">
    <cfRule type="expression" dxfId="7" priority="2">
      <formula>H5="Partial"</formula>
    </cfRule>
  </conditionalFormatting>
  <conditionalFormatting sqref="H5:H44">
    <cfRule type="expression" dxfId="6" priority="3">
      <formula>H5="Not compliant"</formula>
    </cfRule>
  </conditionalFormatting>
  <conditionalFormatting sqref="L5:L44">
    <cfRule type="expression" dxfId="5" priority="4">
      <formula>L5="Closed"</formula>
    </cfRule>
  </conditionalFormatting>
  <dataValidations>
    <dataValidation type="list" allowBlank="1" sqref="H5:H44">
      <formula1>"Compliant,Partial,Not compliant,Not checked,Not applicable"</formula1>
    </dataValidation>
    <dataValidation type="list" allowBlank="1" sqref="E5:E44">
      <formula1>"Yes,No,Not checked"</formula1>
    </dataValidation>
    <dataValidation type="list" allowBlank="1" sqref="G5:G44">
      <formula1>"Yes,No,Not applicable"</formula1>
    </dataValidation>
    <dataValidation type="list" allowBlank="1" sqref="L5:L44">
      <formula1>"Open,In progress,Closed,Waiting for Example Co,Not checked"</formula1>
    </dataValidation>
  </dataValidation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3.0"/>
    <col customWidth="1" min="3" max="3" width="31.0"/>
    <col customWidth="1" min="4" max="4" width="17.0"/>
    <col customWidth="1" min="5" max="5" width="15.0"/>
    <col customWidth="1" min="6" max="6" width="17.0"/>
    <col customWidth="1" min="7" max="7" width="18.0"/>
    <col customWidth="1" min="8" max="8" width="24.0"/>
    <col customWidth="1" min="9" max="19" width="8.63"/>
  </cols>
  <sheetData>
    <row r="1" ht="27.75" customHeight="1">
      <c r="A1" s="6" t="s">
        <v>3</v>
      </c>
    </row>
    <row r="2" ht="30.0" customHeight="1">
      <c r="A2" s="8"/>
    </row>
    <row r="3">
      <c r="A3" s="10"/>
      <c r="B3" s="10"/>
      <c r="C3" s="10"/>
      <c r="D3" s="10"/>
      <c r="E3" s="10"/>
      <c r="F3" s="10"/>
      <c r="G3" s="10"/>
      <c r="H3" s="10"/>
    </row>
    <row r="4" ht="37.5" customHeight="1">
      <c r="A4" s="15" t="s">
        <v>5</v>
      </c>
      <c r="B4" s="15" t="s">
        <v>9</v>
      </c>
      <c r="C4" s="15" t="s">
        <v>12</v>
      </c>
      <c r="D4" s="15" t="s">
        <v>16</v>
      </c>
      <c r="E4" s="15" t="s">
        <v>20</v>
      </c>
      <c r="F4" s="15" t="s">
        <v>23</v>
      </c>
      <c r="G4" s="15" t="s">
        <v>27</v>
      </c>
      <c r="H4" s="15" t="s">
        <v>32</v>
      </c>
    </row>
    <row r="5">
      <c r="A5" s="20" t="s">
        <v>37</v>
      </c>
      <c r="B5" s="20" t="s">
        <v>45</v>
      </c>
      <c r="C5" s="20" t="s">
        <v>47</v>
      </c>
      <c r="D5" s="25" t="s">
        <v>54</v>
      </c>
      <c r="E5" s="25" t="s">
        <v>55</v>
      </c>
      <c r="F5" s="25" t="s">
        <v>58</v>
      </c>
      <c r="G5" s="25" t="s">
        <v>63</v>
      </c>
      <c r="H5" s="25" t="s">
        <v>64</v>
      </c>
    </row>
    <row r="6">
      <c r="A6" s="20" t="s">
        <v>67</v>
      </c>
      <c r="B6" s="20" t="s">
        <v>70</v>
      </c>
      <c r="C6" s="20" t="s">
        <v>71</v>
      </c>
      <c r="D6" s="25" t="s">
        <v>54</v>
      </c>
      <c r="E6" s="25" t="s">
        <v>55</v>
      </c>
      <c r="F6" s="25" t="s">
        <v>58</v>
      </c>
      <c r="G6" s="25" t="s">
        <v>63</v>
      </c>
      <c r="H6" s="25" t="s">
        <v>64</v>
      </c>
    </row>
    <row r="7">
      <c r="A7" s="20" t="s">
        <v>77</v>
      </c>
      <c r="B7" s="20" t="s">
        <v>78</v>
      </c>
      <c r="C7" s="20" t="s">
        <v>80</v>
      </c>
      <c r="D7" s="25" t="s">
        <v>54</v>
      </c>
      <c r="E7" s="25" t="s">
        <v>55</v>
      </c>
      <c r="F7" s="25" t="s">
        <v>58</v>
      </c>
      <c r="G7" s="25" t="s">
        <v>63</v>
      </c>
      <c r="H7" s="25" t="s">
        <v>64</v>
      </c>
    </row>
    <row r="8">
      <c r="A8" s="20" t="s">
        <v>90</v>
      </c>
      <c r="B8" s="20" t="s">
        <v>92</v>
      </c>
      <c r="C8" s="20" t="s">
        <v>94</v>
      </c>
      <c r="D8" s="25" t="s">
        <v>54</v>
      </c>
      <c r="E8" s="25" t="s">
        <v>55</v>
      </c>
      <c r="F8" s="25" t="s">
        <v>58</v>
      </c>
      <c r="G8" s="25" t="s">
        <v>63</v>
      </c>
      <c r="H8" s="25" t="s">
        <v>64</v>
      </c>
    </row>
    <row r="9">
      <c r="A9" s="20"/>
      <c r="B9" s="20"/>
      <c r="C9" s="20"/>
      <c r="D9" s="20"/>
      <c r="E9" s="20"/>
      <c r="F9" s="20"/>
      <c r="G9" s="20"/>
      <c r="H9" s="20"/>
    </row>
    <row r="10">
      <c r="A10" s="20"/>
      <c r="B10" s="20"/>
      <c r="C10" s="20"/>
      <c r="D10" s="20"/>
      <c r="E10" s="20"/>
      <c r="F10" s="20"/>
      <c r="G10" s="20"/>
      <c r="H10" s="20"/>
    </row>
    <row r="11">
      <c r="A11" s="20"/>
      <c r="B11" s="20"/>
      <c r="C11" s="20"/>
      <c r="D11" s="20"/>
      <c r="E11" s="20"/>
      <c r="F11" s="20"/>
      <c r="G11" s="20"/>
      <c r="H11" s="20"/>
    </row>
    <row r="12">
      <c r="A12" s="20"/>
      <c r="B12" s="20"/>
      <c r="C12" s="20"/>
      <c r="D12" s="20"/>
      <c r="E12" s="20"/>
      <c r="F12" s="20"/>
      <c r="G12" s="20"/>
      <c r="H12" s="20"/>
    </row>
    <row r="13">
      <c r="A13" s="20"/>
      <c r="B13" s="20"/>
      <c r="C13" s="20"/>
      <c r="D13" s="20"/>
      <c r="E13" s="20"/>
      <c r="F13" s="20"/>
      <c r="G13" s="20"/>
      <c r="H13" s="20"/>
    </row>
    <row r="14">
      <c r="A14" s="20"/>
      <c r="B14" s="20"/>
      <c r="C14" s="20"/>
      <c r="D14" s="20"/>
      <c r="E14" s="20"/>
      <c r="F14" s="20"/>
      <c r="G14" s="20"/>
      <c r="H14" s="20"/>
    </row>
    <row r="15">
      <c r="A15" s="20"/>
      <c r="B15" s="20"/>
      <c r="C15" s="20"/>
      <c r="D15" s="20"/>
      <c r="E15" s="20"/>
      <c r="F15" s="20"/>
      <c r="G15" s="20"/>
      <c r="H15" s="20"/>
    </row>
    <row r="16">
      <c r="A16" s="20"/>
      <c r="B16" s="20"/>
      <c r="C16" s="20"/>
      <c r="D16" s="20"/>
      <c r="E16" s="20"/>
      <c r="F16" s="20"/>
      <c r="G16" s="20"/>
      <c r="H16" s="20"/>
    </row>
    <row r="17">
      <c r="A17" s="20"/>
      <c r="B17" s="20"/>
      <c r="C17" s="20"/>
      <c r="D17" s="20"/>
      <c r="E17" s="20"/>
      <c r="F17" s="20"/>
      <c r="G17" s="20"/>
      <c r="H17" s="20"/>
    </row>
    <row r="18">
      <c r="A18" s="20"/>
      <c r="B18" s="20"/>
      <c r="C18" s="20"/>
      <c r="D18" s="20"/>
      <c r="E18" s="20"/>
      <c r="F18" s="20"/>
      <c r="G18" s="20"/>
      <c r="H18" s="20"/>
    </row>
    <row r="19">
      <c r="A19" s="20"/>
      <c r="B19" s="20"/>
      <c r="C19" s="20"/>
      <c r="D19" s="20"/>
      <c r="E19" s="20"/>
      <c r="F19" s="20"/>
      <c r="G19" s="20"/>
      <c r="H19" s="20"/>
    </row>
    <row r="20">
      <c r="A20" s="20"/>
      <c r="B20" s="20"/>
      <c r="C20" s="20"/>
      <c r="D20" s="20"/>
      <c r="E20" s="20"/>
      <c r="F20" s="20"/>
      <c r="G20" s="20"/>
      <c r="H20" s="20"/>
    </row>
    <row r="21" ht="15.75" customHeight="1">
      <c r="A21" s="20"/>
      <c r="B21" s="20"/>
      <c r="C21" s="20"/>
      <c r="D21" s="20"/>
      <c r="E21" s="20"/>
      <c r="F21" s="20"/>
      <c r="G21" s="20"/>
      <c r="H21" s="20"/>
    </row>
    <row r="22" ht="15.75" customHeight="1">
      <c r="A22" s="20"/>
      <c r="B22" s="20"/>
      <c r="C22" s="20"/>
      <c r="D22" s="20"/>
      <c r="E22" s="20"/>
      <c r="F22" s="20"/>
      <c r="G22" s="20"/>
      <c r="H22" s="20"/>
    </row>
    <row r="23" ht="15.75" customHeight="1">
      <c r="A23" s="20"/>
      <c r="B23" s="20"/>
      <c r="C23" s="20"/>
      <c r="D23" s="20"/>
      <c r="E23" s="20"/>
      <c r="F23" s="20"/>
      <c r="G23" s="20"/>
      <c r="H23" s="20"/>
    </row>
    <row r="24" ht="15.75" customHeight="1">
      <c r="A24" s="20"/>
      <c r="B24" s="20"/>
      <c r="C24" s="20"/>
      <c r="D24" s="20"/>
      <c r="E24" s="20"/>
      <c r="F24" s="20"/>
      <c r="G24" s="20"/>
      <c r="H24" s="20"/>
    </row>
    <row r="25" ht="15.75" customHeight="1">
      <c r="A25" s="20"/>
      <c r="B25" s="20"/>
      <c r="C25" s="20"/>
      <c r="D25" s="20"/>
      <c r="E25" s="20"/>
      <c r="F25" s="20"/>
      <c r="G25" s="20"/>
      <c r="H25" s="20"/>
    </row>
    <row r="26" ht="15.75" customHeight="1">
      <c r="A26" s="20"/>
      <c r="B26" s="20"/>
      <c r="C26" s="20"/>
      <c r="D26" s="20"/>
      <c r="E26" s="20"/>
      <c r="F26" s="20"/>
      <c r="G26" s="20"/>
      <c r="H26" s="20"/>
    </row>
    <row r="27" ht="15.75" customHeight="1">
      <c r="A27" s="20"/>
      <c r="B27" s="20"/>
      <c r="C27" s="20"/>
      <c r="D27" s="20"/>
      <c r="E27" s="20"/>
      <c r="F27" s="20"/>
      <c r="G27" s="20"/>
      <c r="H27" s="20"/>
    </row>
    <row r="28" ht="15.75" customHeight="1">
      <c r="A28" s="20"/>
      <c r="B28" s="20"/>
      <c r="C28" s="20"/>
      <c r="D28" s="20"/>
      <c r="E28" s="20"/>
      <c r="F28" s="20"/>
      <c r="G28" s="20"/>
      <c r="H28" s="20"/>
    </row>
    <row r="29" ht="15.75" customHeight="1">
      <c r="A29" s="20"/>
      <c r="B29" s="20"/>
      <c r="C29" s="20"/>
      <c r="D29" s="20"/>
      <c r="E29" s="20"/>
      <c r="F29" s="20"/>
      <c r="G29" s="20"/>
      <c r="H29" s="20"/>
    </row>
    <row r="30" ht="15.75" customHeight="1">
      <c r="A30" s="20"/>
      <c r="B30" s="20"/>
      <c r="C30" s="20"/>
      <c r="D30" s="20"/>
      <c r="E30" s="20"/>
      <c r="F30" s="20"/>
      <c r="G30" s="20"/>
      <c r="H30" s="20"/>
    </row>
    <row r="31" ht="15.75" customHeight="1">
      <c r="A31" s="20"/>
      <c r="B31" s="20"/>
      <c r="C31" s="20"/>
      <c r="D31" s="20"/>
      <c r="E31" s="20"/>
      <c r="F31" s="20"/>
      <c r="G31" s="20"/>
      <c r="H31" s="20"/>
    </row>
    <row r="32" ht="15.75" customHeight="1">
      <c r="A32" s="20"/>
      <c r="B32" s="20"/>
      <c r="C32" s="20"/>
      <c r="D32" s="20"/>
      <c r="E32" s="20"/>
      <c r="F32" s="20"/>
      <c r="G32" s="20"/>
      <c r="H32" s="20"/>
    </row>
    <row r="33" ht="15.75" customHeight="1">
      <c r="A33" s="20"/>
      <c r="B33" s="20"/>
      <c r="C33" s="20"/>
      <c r="D33" s="20"/>
      <c r="E33" s="20"/>
      <c r="F33" s="20"/>
      <c r="G33" s="20"/>
      <c r="H33" s="20"/>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conditionalFormatting sqref="F5:F33">
    <cfRule type="expression" dxfId="5" priority="1">
      <formula>F5="Successful"</formula>
    </cfRule>
  </conditionalFormatting>
  <conditionalFormatting sqref="F5:F33">
    <cfRule type="expression" dxfId="6" priority="2">
      <formula>F5="Failed"</formula>
    </cfRule>
  </conditionalFormatting>
  <conditionalFormatting sqref="G5:G33">
    <cfRule type="expression" dxfId="5" priority="3">
      <formula>G5="Pass"</formula>
    </cfRule>
  </conditionalFormatting>
  <conditionalFormatting sqref="G5:G33">
    <cfRule type="expression" dxfId="6" priority="4">
      <formula>G5="Fail"</formula>
    </cfRule>
  </conditionalFormatting>
  <dataValidations>
    <dataValidation type="list" allowBlank="1" sqref="G5:G33">
      <formula1>"Pass,Fail,Partial,Not tested,Not applicable"</formula1>
    </dataValidation>
    <dataValidation type="list" allowBlank="1" sqref="D5:D33">
      <formula1>"Yes,No,Not required,Not checked"</formula1>
    </dataValidation>
    <dataValidation type="list" allowBlank="1" sqref="F5:F33">
      <formula1>"Successful,Partial,Failed,Not checked,Not applicable"</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0"/>
    <col customWidth="1" min="2" max="2" width="40.0"/>
    <col customWidth="1" min="3" max="3" width="19.0"/>
    <col customWidth="1" min="4" max="4" width="22.0"/>
    <col customWidth="1" min="5" max="5" width="31.0"/>
    <col customWidth="1" min="6" max="6" width="24.0"/>
    <col customWidth="1" min="7" max="7" width="14.0"/>
    <col customWidth="1" min="8" max="24" width="8.63"/>
  </cols>
  <sheetData>
    <row r="1" ht="27.75" customHeight="1">
      <c r="A1" s="6" t="s">
        <v>35</v>
      </c>
    </row>
    <row r="2" ht="30.0" customHeight="1">
      <c r="A2" s="8"/>
    </row>
    <row r="3">
      <c r="A3" s="10"/>
      <c r="B3" s="10"/>
      <c r="C3" s="10"/>
      <c r="D3" s="10"/>
      <c r="E3" s="10"/>
      <c r="F3" s="10"/>
      <c r="G3" s="10"/>
    </row>
    <row r="4" ht="39.75" customHeight="1">
      <c r="A4" s="15" t="s">
        <v>147</v>
      </c>
      <c r="B4" s="15" t="s">
        <v>148</v>
      </c>
      <c r="C4" s="15" t="s">
        <v>44</v>
      </c>
      <c r="D4" s="15" t="s">
        <v>149</v>
      </c>
      <c r="E4" s="15" t="s">
        <v>150</v>
      </c>
      <c r="F4" s="15" t="s">
        <v>48</v>
      </c>
      <c r="G4" s="15" t="s">
        <v>61</v>
      </c>
    </row>
    <row r="5">
      <c r="A5" s="20" t="s">
        <v>151</v>
      </c>
      <c r="B5" s="20" t="s">
        <v>152</v>
      </c>
      <c r="C5" s="25" t="s">
        <v>59</v>
      </c>
      <c r="D5" s="25" t="s">
        <v>74</v>
      </c>
      <c r="E5" s="25" t="s">
        <v>153</v>
      </c>
      <c r="F5" s="25" t="s">
        <v>64</v>
      </c>
      <c r="G5" s="25" t="s">
        <v>107</v>
      </c>
    </row>
    <row r="6">
      <c r="A6" s="20" t="s">
        <v>154</v>
      </c>
      <c r="B6" s="20" t="s">
        <v>155</v>
      </c>
      <c r="C6" s="25" t="s">
        <v>66</v>
      </c>
      <c r="D6" s="25" t="s">
        <v>74</v>
      </c>
      <c r="E6" s="25" t="s">
        <v>200</v>
      </c>
      <c r="F6" s="25" t="s">
        <v>64</v>
      </c>
      <c r="G6" s="25" t="s">
        <v>107</v>
      </c>
    </row>
    <row r="7">
      <c r="A7" s="20" t="s">
        <v>156</v>
      </c>
      <c r="B7" s="20" t="s">
        <v>157</v>
      </c>
      <c r="C7" s="25" t="s">
        <v>59</v>
      </c>
      <c r="D7" s="25" t="s">
        <v>74</v>
      </c>
      <c r="E7" s="25" t="s">
        <v>153</v>
      </c>
      <c r="F7" s="25" t="s">
        <v>64</v>
      </c>
      <c r="G7" s="25" t="s">
        <v>107</v>
      </c>
    </row>
    <row r="8">
      <c r="A8" s="20" t="s">
        <v>158</v>
      </c>
      <c r="B8" s="20" t="s">
        <v>159</v>
      </c>
      <c r="C8" s="25" t="s">
        <v>59</v>
      </c>
      <c r="D8" s="25" t="s">
        <v>74</v>
      </c>
      <c r="E8" s="25" t="s">
        <v>153</v>
      </c>
      <c r="F8" s="25" t="s">
        <v>64</v>
      </c>
      <c r="G8" s="25" t="s">
        <v>107</v>
      </c>
    </row>
    <row r="9">
      <c r="A9" s="20" t="s">
        <v>160</v>
      </c>
      <c r="B9" s="20" t="s">
        <v>161</v>
      </c>
      <c r="C9" s="25" t="s">
        <v>59</v>
      </c>
      <c r="D9" s="25" t="s">
        <v>74</v>
      </c>
      <c r="E9" s="25" t="s">
        <v>153</v>
      </c>
      <c r="F9" s="25" t="s">
        <v>64</v>
      </c>
      <c r="G9" s="25" t="s">
        <v>107</v>
      </c>
    </row>
    <row r="10">
      <c r="A10" s="20" t="s">
        <v>162</v>
      </c>
      <c r="B10" s="20" t="s">
        <v>163</v>
      </c>
      <c r="C10" s="25" t="s">
        <v>59</v>
      </c>
      <c r="D10" s="25" t="s">
        <v>74</v>
      </c>
      <c r="E10" s="25" t="s">
        <v>153</v>
      </c>
      <c r="F10" s="25" t="s">
        <v>64</v>
      </c>
      <c r="G10" s="25" t="s">
        <v>107</v>
      </c>
    </row>
    <row r="11">
      <c r="A11" s="20" t="s">
        <v>164</v>
      </c>
      <c r="B11" s="20" t="s">
        <v>165</v>
      </c>
      <c r="C11" s="25" t="s">
        <v>59</v>
      </c>
      <c r="D11" s="25" t="s">
        <v>74</v>
      </c>
      <c r="E11" s="25" t="s">
        <v>153</v>
      </c>
      <c r="F11" s="25" t="s">
        <v>64</v>
      </c>
      <c r="G11" s="25" t="s">
        <v>107</v>
      </c>
    </row>
    <row r="12">
      <c r="A12" s="20" t="s">
        <v>166</v>
      </c>
      <c r="B12" s="20" t="s">
        <v>167</v>
      </c>
      <c r="C12" s="25" t="s">
        <v>59</v>
      </c>
      <c r="D12" s="25" t="s">
        <v>74</v>
      </c>
      <c r="E12" s="25" t="s">
        <v>153</v>
      </c>
      <c r="F12" s="25" t="s">
        <v>64</v>
      </c>
      <c r="G12" s="25" t="s">
        <v>107</v>
      </c>
    </row>
    <row r="13">
      <c r="A13" s="20" t="s">
        <v>168</v>
      </c>
      <c r="B13" s="20" t="s">
        <v>169</v>
      </c>
      <c r="C13" s="25" t="s">
        <v>59</v>
      </c>
      <c r="D13" s="25" t="s">
        <v>74</v>
      </c>
      <c r="E13" s="25" t="s">
        <v>153</v>
      </c>
      <c r="F13" s="25" t="s">
        <v>64</v>
      </c>
      <c r="G13" s="25" t="s">
        <v>107</v>
      </c>
    </row>
    <row r="14">
      <c r="A14" s="20" t="s">
        <v>170</v>
      </c>
      <c r="B14" s="20" t="s">
        <v>171</v>
      </c>
      <c r="C14" s="25" t="s">
        <v>66</v>
      </c>
      <c r="D14" s="25" t="s">
        <v>74</v>
      </c>
      <c r="E14" s="25" t="s">
        <v>201</v>
      </c>
      <c r="F14" s="25" t="s">
        <v>64</v>
      </c>
      <c r="G14" s="25" t="s">
        <v>107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G1"/>
    <mergeCell ref="A2:G2"/>
  </mergeCells>
  <conditionalFormatting sqref="C5:C14">
    <cfRule type="expression" dxfId="5" priority="1">
      <formula>C5="Good"</formula>
    </cfRule>
  </conditionalFormatting>
  <conditionalFormatting sqref="C5:C14">
    <cfRule type="expression" dxfId="7" priority="2">
      <formula>C5="Needs attention"</formula>
    </cfRule>
  </conditionalFormatting>
  <conditionalFormatting sqref="C5:C14">
    <cfRule type="expression" dxfId="6" priority="3">
      <formula>C5="High risk"</formula>
    </cfRule>
  </conditionalFormatting>
  <dataValidations>
    <dataValidation type="list" allowBlank="1" sqref="C5:C14">
      <formula1>"Good,Needs attention,High risk,Not yet checked"</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23.0"/>
    <col customWidth="1" min="3" max="3" width="38.0"/>
    <col customWidth="1" min="4" max="4" width="13.0"/>
    <col customWidth="1" min="5" max="5" width="24.0"/>
    <col customWidth="1" min="6" max="6" width="18.0"/>
    <col customWidth="1" min="7" max="7" width="14.0"/>
    <col customWidth="1" min="8" max="8" width="30.0"/>
    <col customWidth="1" min="9" max="23" width="8.63"/>
  </cols>
  <sheetData>
    <row r="1" ht="27.75" customHeight="1">
      <c r="A1" s="6" t="s">
        <v>172</v>
      </c>
    </row>
    <row r="2" ht="30.0" customHeight="1">
      <c r="A2" s="8"/>
    </row>
    <row r="3">
      <c r="A3" s="10"/>
      <c r="B3" s="10"/>
      <c r="C3" s="10"/>
      <c r="D3" s="10"/>
      <c r="E3" s="10"/>
      <c r="F3" s="10"/>
      <c r="G3" s="10"/>
      <c r="H3" s="10"/>
    </row>
    <row r="4" ht="37.5" customHeight="1">
      <c r="A4" s="15" t="s">
        <v>5</v>
      </c>
      <c r="B4" s="15" t="s">
        <v>173</v>
      </c>
      <c r="C4" s="15" t="s">
        <v>51</v>
      </c>
      <c r="D4" s="15" t="s">
        <v>174</v>
      </c>
      <c r="E4" s="15" t="s">
        <v>48</v>
      </c>
      <c r="F4" s="15" t="s">
        <v>49</v>
      </c>
      <c r="G4" s="15" t="s">
        <v>61</v>
      </c>
      <c r="H4" s="15" t="s">
        <v>175</v>
      </c>
    </row>
    <row r="5">
      <c r="A5" s="25" t="s">
        <v>176</v>
      </c>
      <c r="B5" s="25" t="s">
        <v>177</v>
      </c>
      <c r="C5" s="25" t="s">
        <v>178</v>
      </c>
      <c r="D5" s="25" t="s">
        <v>179</v>
      </c>
      <c r="E5" s="25" t="s">
        <v>180</v>
      </c>
      <c r="F5" s="25" t="s">
        <v>126</v>
      </c>
      <c r="G5" s="25" t="s">
        <v>93</v>
      </c>
      <c r="H5" s="20"/>
    </row>
    <row r="6">
      <c r="A6" s="25" t="s">
        <v>181</v>
      </c>
      <c r="B6" s="20"/>
      <c r="C6" s="20"/>
      <c r="D6" s="20"/>
      <c r="E6" s="20"/>
      <c r="F6" s="20"/>
      <c r="G6" s="32"/>
      <c r="H6" s="20"/>
    </row>
    <row r="7">
      <c r="A7" s="20"/>
      <c r="B7" s="20"/>
      <c r="C7" s="20"/>
      <c r="D7" s="20"/>
      <c r="E7" s="20"/>
      <c r="F7" s="20"/>
      <c r="G7" s="32"/>
      <c r="H7" s="20"/>
    </row>
    <row r="8">
      <c r="A8" s="20"/>
      <c r="B8" s="20"/>
      <c r="C8" s="20"/>
      <c r="D8" s="20"/>
      <c r="E8" s="20"/>
      <c r="F8" s="20"/>
      <c r="G8" s="32"/>
      <c r="H8" s="20"/>
    </row>
    <row r="9">
      <c r="A9" s="20"/>
      <c r="B9" s="20"/>
      <c r="C9" s="20"/>
      <c r="D9" s="20"/>
      <c r="E9" s="20"/>
      <c r="F9" s="20"/>
      <c r="G9" s="32"/>
      <c r="H9" s="20"/>
    </row>
    <row r="10">
      <c r="A10" s="20"/>
      <c r="B10" s="20"/>
      <c r="C10" s="20"/>
      <c r="D10" s="20"/>
      <c r="E10" s="20"/>
      <c r="F10" s="20"/>
      <c r="G10" s="32"/>
      <c r="H10" s="20"/>
    </row>
    <row r="11">
      <c r="A11" s="20"/>
      <c r="B11" s="20"/>
      <c r="C11" s="20"/>
      <c r="D11" s="20"/>
      <c r="E11" s="20"/>
      <c r="F11" s="20"/>
      <c r="G11" s="32"/>
      <c r="H11" s="20"/>
    </row>
    <row r="12">
      <c r="A12" s="20"/>
      <c r="B12" s="20"/>
      <c r="C12" s="20"/>
      <c r="D12" s="20"/>
      <c r="E12" s="20"/>
      <c r="F12" s="20"/>
      <c r="G12" s="32"/>
      <c r="H12" s="20"/>
    </row>
    <row r="13">
      <c r="A13" s="20"/>
      <c r="B13" s="20"/>
      <c r="C13" s="20"/>
      <c r="D13" s="20"/>
      <c r="E13" s="20"/>
      <c r="F13" s="20"/>
      <c r="G13" s="32"/>
      <c r="H13" s="20"/>
    </row>
    <row r="14">
      <c r="A14" s="20"/>
      <c r="B14" s="20"/>
      <c r="C14" s="20"/>
      <c r="D14" s="20"/>
      <c r="E14" s="20"/>
      <c r="F14" s="20"/>
      <c r="G14" s="32"/>
      <c r="H14" s="20"/>
    </row>
    <row r="15">
      <c r="A15" s="20"/>
      <c r="B15" s="20"/>
      <c r="C15" s="20"/>
      <c r="D15" s="20"/>
      <c r="E15" s="20"/>
      <c r="F15" s="20"/>
      <c r="G15" s="32"/>
      <c r="H15" s="20"/>
    </row>
    <row r="16">
      <c r="A16" s="20"/>
      <c r="B16" s="20"/>
      <c r="C16" s="20"/>
      <c r="D16" s="20"/>
      <c r="E16" s="20"/>
      <c r="F16" s="20"/>
      <c r="G16" s="32"/>
      <c r="H16" s="20"/>
    </row>
    <row r="17">
      <c r="A17" s="20"/>
      <c r="B17" s="20"/>
      <c r="C17" s="20"/>
      <c r="D17" s="20"/>
      <c r="E17" s="20"/>
      <c r="F17" s="20"/>
      <c r="G17" s="32"/>
      <c r="H17" s="20"/>
    </row>
    <row r="18">
      <c r="A18" s="20"/>
      <c r="B18" s="20"/>
      <c r="C18" s="20"/>
      <c r="D18" s="20"/>
      <c r="E18" s="20"/>
      <c r="F18" s="20"/>
      <c r="G18" s="32"/>
      <c r="H18" s="20"/>
    </row>
    <row r="19">
      <c r="A19" s="20"/>
      <c r="B19" s="20"/>
      <c r="C19" s="20"/>
      <c r="D19" s="20"/>
      <c r="E19" s="20"/>
      <c r="F19" s="20"/>
      <c r="G19" s="32"/>
      <c r="H19" s="20"/>
    </row>
    <row r="20">
      <c r="A20" s="20"/>
      <c r="B20" s="20"/>
      <c r="C20" s="20"/>
      <c r="D20" s="20"/>
      <c r="E20" s="20"/>
      <c r="F20" s="20"/>
      <c r="G20" s="32"/>
      <c r="H20" s="20"/>
    </row>
    <row r="21" ht="15.75" customHeight="1">
      <c r="A21" s="20"/>
      <c r="B21" s="20"/>
      <c r="C21" s="20"/>
      <c r="D21" s="20"/>
      <c r="E21" s="20"/>
      <c r="F21" s="20"/>
      <c r="G21" s="32"/>
      <c r="H21" s="20"/>
    </row>
    <row r="22" ht="15.75" customHeight="1">
      <c r="A22" s="20"/>
      <c r="B22" s="20"/>
      <c r="C22" s="20"/>
      <c r="D22" s="20"/>
      <c r="E22" s="20"/>
      <c r="F22" s="20"/>
      <c r="G22" s="32"/>
      <c r="H22" s="20"/>
    </row>
    <row r="23" ht="15.75" customHeight="1">
      <c r="A23" s="20"/>
      <c r="B23" s="20"/>
      <c r="C23" s="20"/>
      <c r="D23" s="20"/>
      <c r="E23" s="20"/>
      <c r="F23" s="20"/>
      <c r="G23" s="32"/>
      <c r="H23" s="20"/>
    </row>
    <row r="24" ht="15.75" customHeight="1">
      <c r="A24" s="20"/>
      <c r="B24" s="20"/>
      <c r="C24" s="20"/>
      <c r="D24" s="20"/>
      <c r="E24" s="20"/>
      <c r="F24" s="20"/>
      <c r="G24" s="32"/>
      <c r="H24" s="20"/>
    </row>
    <row r="25" ht="15.75" customHeight="1">
      <c r="A25" s="20"/>
      <c r="B25" s="20"/>
      <c r="C25" s="20"/>
      <c r="D25" s="20"/>
      <c r="E25" s="20"/>
      <c r="F25" s="20"/>
      <c r="G25" s="32"/>
      <c r="H25" s="20"/>
    </row>
    <row r="26" ht="15.75" customHeight="1">
      <c r="A26" s="20"/>
      <c r="B26" s="20"/>
      <c r="C26" s="20"/>
      <c r="D26" s="20"/>
      <c r="E26" s="20"/>
      <c r="F26" s="20"/>
      <c r="G26" s="32"/>
      <c r="H26" s="20"/>
    </row>
    <row r="27" ht="15.75" customHeight="1">
      <c r="A27" s="20"/>
      <c r="B27" s="20"/>
      <c r="C27" s="20"/>
      <c r="D27" s="20"/>
      <c r="E27" s="20"/>
      <c r="F27" s="20"/>
      <c r="G27" s="32"/>
      <c r="H27" s="20"/>
    </row>
    <row r="28" ht="15.75" customHeight="1">
      <c r="A28" s="20"/>
      <c r="B28" s="20"/>
      <c r="C28" s="20"/>
      <c r="D28" s="20"/>
      <c r="E28" s="20"/>
      <c r="F28" s="20"/>
      <c r="G28" s="32"/>
      <c r="H28" s="20"/>
    </row>
    <row r="29" ht="15.75" customHeight="1">
      <c r="A29" s="20"/>
      <c r="B29" s="20"/>
      <c r="C29" s="20"/>
      <c r="D29" s="20"/>
      <c r="E29" s="20"/>
      <c r="F29" s="20"/>
      <c r="G29" s="32"/>
      <c r="H29" s="20"/>
    </row>
    <row r="30" ht="15.75" customHeight="1">
      <c r="A30" s="20"/>
      <c r="B30" s="20"/>
      <c r="C30" s="20"/>
      <c r="D30" s="20"/>
      <c r="E30" s="20"/>
      <c r="F30" s="20"/>
      <c r="G30" s="32"/>
      <c r="H30" s="20"/>
    </row>
    <row r="31" ht="15.75" customHeight="1">
      <c r="A31" s="20"/>
      <c r="B31" s="20"/>
      <c r="C31" s="20"/>
      <c r="D31" s="20"/>
      <c r="E31" s="20"/>
      <c r="F31" s="20"/>
      <c r="G31" s="32"/>
      <c r="H31" s="20"/>
    </row>
    <row r="32" ht="15.75" customHeight="1">
      <c r="A32" s="20"/>
      <c r="B32" s="20"/>
      <c r="C32" s="20"/>
      <c r="D32" s="20"/>
      <c r="E32" s="20"/>
      <c r="F32" s="20"/>
      <c r="G32" s="32"/>
      <c r="H32" s="20"/>
    </row>
    <row r="33" ht="15.75" customHeight="1">
      <c r="A33" s="20"/>
      <c r="B33" s="20"/>
      <c r="C33" s="20"/>
      <c r="D33" s="20"/>
      <c r="E33" s="20"/>
      <c r="F33" s="20"/>
      <c r="G33" s="32"/>
      <c r="H33" s="20"/>
    </row>
    <row r="34" ht="15.75" customHeight="1">
      <c r="A34" s="20"/>
      <c r="B34" s="20"/>
      <c r="C34" s="20"/>
      <c r="D34" s="20"/>
      <c r="E34" s="20"/>
      <c r="F34" s="20"/>
      <c r="G34" s="32"/>
      <c r="H34" s="20"/>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conditionalFormatting sqref="D5:D34">
    <cfRule type="expression" dxfId="6" priority="1">
      <formula>D5="Critical"</formula>
    </cfRule>
  </conditionalFormatting>
  <conditionalFormatting sqref="D5:D34">
    <cfRule type="expression" dxfId="7" priority="2">
      <formula>D5="High"</formula>
    </cfRule>
  </conditionalFormatting>
  <conditionalFormatting sqref="F5:F34">
    <cfRule type="expression" dxfId="5" priority="3">
      <formula>F5="Closed"</formula>
    </cfRule>
  </conditionalFormatting>
  <dataValidations>
    <dataValidation type="list" allowBlank="1" sqref="F5:F34">
      <formula1>"Open,In progress,Closed,Waiting for Example Co"</formula1>
    </dataValidation>
    <dataValidation type="list" allowBlank="1" sqref="D5:D34">
      <formula1>"Critical,High,Medium,Low"</formula1>
    </dataValidation>
  </dataValidations>
  <printOptions/>
  <pageMargins bottom="0.75" footer="0.0" header="0.0" left="0.7" right="0.7" top="0.75"/>
  <pageSetup orientation="landscape"/>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18.0"/>
    <col customWidth="1" min="11" max="26" width="8.63"/>
  </cols>
  <sheetData>
    <row r="1" ht="27.75" customHeight="1">
      <c r="A1" s="36" t="s">
        <v>182</v>
      </c>
    </row>
    <row r="2" ht="30.0" customHeight="1">
      <c r="A2" s="37" t="s">
        <v>183</v>
      </c>
    </row>
    <row r="4" ht="21.75" customHeight="1">
      <c r="A4" s="38" t="s">
        <v>184</v>
      </c>
      <c r="B4" s="38"/>
      <c r="C4" s="38"/>
      <c r="D4" s="38"/>
      <c r="E4" s="38"/>
      <c r="F4" s="38"/>
      <c r="G4" s="38"/>
      <c r="H4" s="38"/>
      <c r="I4" s="38"/>
      <c r="J4" s="38"/>
    </row>
    <row r="5" ht="27.75" customHeight="1">
      <c r="A5" s="39" t="s">
        <v>185</v>
      </c>
      <c r="C5" s="39" t="s">
        <v>186</v>
      </c>
      <c r="E5" s="39" t="s">
        <v>187</v>
      </c>
      <c r="G5" s="39" t="s">
        <v>188</v>
      </c>
      <c r="I5" s="39" t="s">
        <v>189</v>
      </c>
    </row>
    <row r="6" ht="30.0" customHeight="1">
      <c r="A6" s="40" t="str">
        <f>IF(COUNTA('Digital Assets'!B5:B33)=0,"0/0",(COUNTIFS('Digital Assets'!B5:B33,"&lt;&gt;",'Digital Assets'!I5:I33,"Good")+COUNTIFS('Digital Assets'!B5:B33,"&lt;&gt;",'Digital Assets'!I5:I33,"Needs attention")+COUNTIFS('Digital Assets'!B5:B33,"&lt;&gt;",'Digital Assets'!I5:I33,"High risk"))&amp;"/"&amp;COUNTA('Digital Assets'!B5:B33))</f>
        <v>9/9</v>
      </c>
      <c r="C6" s="41">
        <f>IF(COUNTIFS('Accounts &amp; Security'!E5:E44,"Yes",'Accounts &amp; Security'!G5:G44,"Yes",'Accounts &amp; Security'!H5:H44,"&lt;&gt;Not applicable",'Accounts &amp; Security'!H5:H44,"&lt;&gt;")=0,"N/A",COUNTIFS('Accounts &amp; Security'!E5:E44,"Yes",'Accounts &amp; Security'!G5:G44,"Yes",'Accounts &amp; Security'!H5:H44,"Compliant")/COUNTIFS('Accounts &amp; Security'!E5:E44,"Yes",'Accounts &amp; Security'!G5:G44,"Yes",'Accounts &amp; Security'!H5:H44,"&lt;&gt;Not applicable",'Accounts &amp; Security'!H5:H44,"&lt;&gt;"))</f>
        <v>0.8333333333</v>
      </c>
      <c r="E6" s="41">
        <f>IF(COUNTIFS('Backup &amp; Recovery'!D5:D33,"Yes")=0,"N/A",COUNTIFS('Backup &amp; Recovery'!D5:D33,"Yes",'Backup &amp; Recovery'!F5:F33,"Successful")/COUNTIFS('Backup &amp; Recovery'!D5:D33,"Yes"))</f>
        <v>1</v>
      </c>
      <c r="G6" s="40" t="str">
        <f>IF(COUNTIFS('Backup &amp; Recovery'!D5:D33,"Yes",'Backup &amp; Recovery'!G5:G33,"Fail")&gt;0,"FAIL",IF(COUNTIFS('Backup &amp; Recovery'!D5:D33,"Yes")=0,"NOT TESTED",IF(COUNTIFS('Backup &amp; Recovery'!D5:D33,"Yes",'Backup &amp; Recovery'!G5:G33,"Pass")=COUNTIFS('Backup &amp; Recovery'!D5:D33,"Yes"),"PASS",IF(COUNTIFS('Backup &amp; Recovery'!D5:D33,"Yes",'Backup &amp; Recovery'!G5:G33,"Pass")&gt;0,"PARTIAL","NOT TESTED"))))</f>
        <v>PASS</v>
      </c>
      <c r="I6" s="40">
        <f>COUNTIFS('Open Items'!D5:D34,"Critical",'Open Items'!F5:F34,"&lt;&gt;Closed")+COUNTIFS('Open Items'!D5:D34,"High",'Open Items'!F5:F34,"&lt;&gt;Closed")</f>
        <v>1</v>
      </c>
    </row>
    <row r="7" ht="30.0" customHeight="1"/>
    <row r="10" ht="21.75" customHeight="1">
      <c r="A10" s="38" t="s">
        <v>190</v>
      </c>
    </row>
    <row r="11" ht="21.75" customHeight="1">
      <c r="A11" s="42" t="s">
        <v>174</v>
      </c>
      <c r="B11" s="42" t="s">
        <v>191</v>
      </c>
    </row>
    <row r="12">
      <c r="A12" s="43" t="s">
        <v>179</v>
      </c>
      <c r="B12" s="44">
        <f>COUNTIFS('Open Items'!D5:D34,A12,'Open Items'!F5:F34,"&lt;&gt;Closed")</f>
        <v>1</v>
      </c>
    </row>
    <row r="13">
      <c r="A13" s="43" t="s">
        <v>192</v>
      </c>
      <c r="B13" s="44">
        <f>COUNTIFS('Open Items'!D5:D34,A13,'Open Items'!F5:F34,"&lt;&gt;Closed")</f>
        <v>0</v>
      </c>
    </row>
    <row r="14">
      <c r="A14" s="43" t="s">
        <v>193</v>
      </c>
      <c r="B14" s="44">
        <f>COUNTIFS('Open Items'!D5:D34,A14,'Open Items'!F5:F34,"&lt;&gt;Closed")</f>
        <v>0</v>
      </c>
    </row>
    <row r="15">
      <c r="A15" s="43" t="s">
        <v>194</v>
      </c>
      <c r="B15" s="44">
        <f>COUNTIFS('Open Items'!D5:D34,A15,'Open Items'!F5:F34,"&lt;&gt;Closed")</f>
        <v>0</v>
      </c>
    </row>
    <row r="18" ht="24.0" customHeight="1">
      <c r="A18" s="45"/>
    </row>
    <row r="19" ht="48.75" customHeight="1"/>
    <row r="20" ht="24.0" customHeight="1">
      <c r="A20" s="38" t="s">
        <v>195</v>
      </c>
      <c r="F20" s="46" t="s">
        <v>196</v>
      </c>
    </row>
    <row r="21" ht="24.0" customHeight="1">
      <c r="A21" s="47" t="s">
        <v>197</v>
      </c>
      <c r="F21" s="47"/>
    </row>
    <row r="22" ht="24.0" customHeight="1"/>
    <row r="23" ht="24.0" customHeight="1"/>
    <row r="24" ht="15.75" customHeight="1"/>
    <row r="25" ht="15.75" customHeight="1"/>
    <row r="26" ht="15.75" customHeight="1">
      <c r="A26" s="48" t="s">
        <v>198</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9">
    <mergeCell ref="A1:J1"/>
    <mergeCell ref="A2:J2"/>
    <mergeCell ref="A5:B5"/>
    <mergeCell ref="C5:D5"/>
    <mergeCell ref="E5:F5"/>
    <mergeCell ref="G5:H5"/>
    <mergeCell ref="I5:J5"/>
    <mergeCell ref="A21:E23"/>
    <mergeCell ref="A26:J26"/>
    <mergeCell ref="F21:J23"/>
    <mergeCell ref="A20:E20"/>
    <mergeCell ref="F20:J20"/>
    <mergeCell ref="A18:J19"/>
    <mergeCell ref="A6:B7"/>
    <mergeCell ref="C6:D7"/>
    <mergeCell ref="E6:F7"/>
    <mergeCell ref="G6:H7"/>
    <mergeCell ref="I6:J7"/>
    <mergeCell ref="A10:D10"/>
  </mergeCells>
  <conditionalFormatting sqref="G6">
    <cfRule type="expression" dxfId="5" priority="1">
      <formula>G6="PASS"</formula>
    </cfRule>
  </conditionalFormatting>
  <conditionalFormatting sqref="G6">
    <cfRule type="expression" dxfId="6" priority="2">
      <formula>G6="FAIL"</formula>
    </cfRule>
  </conditionalFormatting>
  <conditionalFormatting sqref="G6">
    <cfRule type="expression" dxfId="7" priority="3">
      <formula>G6="PARTIAL"</formula>
    </cfRule>
  </conditionalFormatting>
  <conditionalFormatting sqref="G6">
    <cfRule type="expression" dxfId="8" priority="4">
      <formula>G6="NOT TESTED"</formula>
    </cfRule>
  </conditionalFormatting>
  <conditionalFormatting sqref="I6">
    <cfRule type="cellIs" dxfId="6" priority="5" operator="greaterThan">
      <formula>0</formula>
    </cfRule>
  </conditionalFormatting>
  <printOptions/>
  <pageMargins bottom="0.75" footer="0.0" header="0.0" left="0.7" right="0.7" top="0.75"/>
  <pageSetup orientation="landscape"/>
  <drawing r:id="rId1"/>
</worksheet>
</file>